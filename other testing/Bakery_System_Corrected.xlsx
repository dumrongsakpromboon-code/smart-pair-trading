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Inventory" sheetId="1" r:id="rId1"/>
    <sheet name="2_Recipe_Master" sheetId="2" r:id="rId2"/>
    <sheet name="3_Daily_Sales" sheetId="3" r:id="rId3"/>
    <sheet name="4_Dashboard" sheetId="4" r:id="rId4"/>
  </sheets>
  <calcPr calcId="124519" fullCalcOnLoad="1"/>
</workbook>
</file>

<file path=xl/sharedStrings.xml><?xml version="1.0" encoding="utf-8"?>
<sst xmlns="http://schemas.openxmlformats.org/spreadsheetml/2006/main" count="107" uniqueCount="67">
  <si>
    <t>ID</t>
  </si>
  <si>
    <t>Material Name</t>
  </si>
  <si>
    <t>Purchase Price</t>
  </si>
  <si>
    <t>Qty</t>
  </si>
  <si>
    <t>Unit</t>
  </si>
  <si>
    <t>Grams per Unit</t>
  </si>
  <si>
    <t>Cost/Gram</t>
  </si>
  <si>
    <t>INVENTORY MASTER</t>
  </si>
  <si>
    <t>M001</t>
  </si>
  <si>
    <t>แป้งเค้ก (Cake Flour)</t>
  </si>
  <si>
    <t>kg</t>
  </si>
  <si>
    <t>M002</t>
  </si>
  <si>
    <t>น้ำตาลทราย (Sugar)</t>
  </si>
  <si>
    <t>M003</t>
  </si>
  <si>
    <t>เนยสด (Butter)</t>
  </si>
  <si>
    <t>M004</t>
  </si>
  <si>
    <t>ไข่ไก่ (Eggs)</t>
  </si>
  <si>
    <t>pcs</t>
  </si>
  <si>
    <t>M005</t>
  </si>
  <si>
    <t>นมสด (Milk)</t>
  </si>
  <si>
    <t>L</t>
  </si>
  <si>
    <t>M006</t>
  </si>
  <si>
    <t>ผงโกโก้ (Cocoa)</t>
  </si>
  <si>
    <t>M007</t>
  </si>
  <si>
    <t>สตรอว์เบอร์รี (Strawberry)</t>
  </si>
  <si>
    <t>M008</t>
  </si>
  <si>
    <t>วิปครีม (Whipping Cream)</t>
  </si>
  <si>
    <t>MENU PRICING SUMMARY</t>
  </si>
  <si>
    <t>Menu Name</t>
  </si>
  <si>
    <t>Total Cost</t>
  </si>
  <si>
    <t>Target Margin %</t>
  </si>
  <si>
    <t>Rec. Price</t>
  </si>
  <si>
    <t>Final Price</t>
  </si>
  <si>
    <t>MN01</t>
  </si>
  <si>
    <t>Strawberry Shortcake</t>
  </si>
  <si>
    <t>RECIPE: Strawberry Shortcake (MN01)</t>
  </si>
  <si>
    <t>Ingredient</t>
  </si>
  <si>
    <t>Qty (g)</t>
  </si>
  <si>
    <t>Cost/g (Link)</t>
  </si>
  <si>
    <t>Line Cost</t>
  </si>
  <si>
    <t>Notes</t>
  </si>
  <si>
    <t>Raw Material Cost</t>
  </si>
  <si>
    <t>Loss % (Yield)</t>
  </si>
  <si>
    <t>TOTAL COST / PCS</t>
  </si>
  <si>
    <t>MN02</t>
  </si>
  <si>
    <t>Double Choc Brownie</t>
  </si>
  <si>
    <t>RECIPE: Double Choc Brownie (MN02)</t>
  </si>
  <si>
    <t>MN03</t>
  </si>
  <si>
    <t>Oatmeal Cookie</t>
  </si>
  <si>
    <t>RECIPE: Oatmeal Cookie (MN03)</t>
  </si>
  <si>
    <t>MN04</t>
  </si>
  <si>
    <t>Butter Croissant</t>
  </si>
  <si>
    <t>RECIPE: Butter Croissant (MN04)</t>
  </si>
  <si>
    <t>MN05</t>
  </si>
  <si>
    <t>Coconut Pie</t>
  </si>
  <si>
    <t>RECIPE: Coconut Pie (MN05)</t>
  </si>
  <si>
    <t>DAILY SALES LOG</t>
  </si>
  <si>
    <t>Date</t>
  </si>
  <si>
    <t>Menu Item</t>
  </si>
  <si>
    <t>Qty Sold</t>
  </si>
  <si>
    <t>Selling Price</t>
  </si>
  <si>
    <t>Cost per Unit</t>
  </si>
  <si>
    <t>Total Sales</t>
  </si>
  <si>
    <t>Gross Profit</t>
  </si>
  <si>
    <t>BUSINESS SNAPSHOT</t>
  </si>
  <si>
    <t>Total Revenue</t>
  </si>
  <si>
    <t>Net Profit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</si>
</sst>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3">
    <font>
      <sz val="11"/>
      <color theme="1"/>
      <name val="Calibri"/>
      <family val="2"/>
      <scheme val="minor"/>
    </font>
    <font>
      <b/>
      <sz val="14"/>
      <color rgb="FF274E1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2" max="2" width="30.7109375" customWidth="1"/>
    <col min="3" max="7" width="15.7109375" customWidth="1"/>
  </cols>
  <sheetData>
    <row r="1" spans="1:7">
      <c r="A1" s="1" t="s">
        <v>7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 t="s">
        <v>8</v>
      </c>
      <c r="B3" s="4" t="s">
        <v>9</v>
      </c>
      <c r="C3" s="5">
        <v>45</v>
      </c>
      <c r="D3" s="3">
        <v>1</v>
      </c>
      <c r="E3" s="3" t="s">
        <v>10</v>
      </c>
      <c r="F3" s="3">
        <v>1000</v>
      </c>
      <c r="G3" s="5">
        <f>C3/(D3*F3)</f>
        <v>0</v>
      </c>
    </row>
    <row r="4" spans="1:7">
      <c r="A4" s="3" t="s">
        <v>11</v>
      </c>
      <c r="B4" s="4" t="s">
        <v>12</v>
      </c>
      <c r="C4" s="5">
        <v>24</v>
      </c>
      <c r="D4" s="3">
        <v>1</v>
      </c>
      <c r="E4" s="3" t="s">
        <v>10</v>
      </c>
      <c r="F4" s="3">
        <v>1000</v>
      </c>
      <c r="G4" s="5">
        <f>C4/(D4*F4)</f>
        <v>0</v>
      </c>
    </row>
    <row r="5" spans="1:7">
      <c r="A5" s="3" t="s">
        <v>13</v>
      </c>
      <c r="B5" s="4" t="s">
        <v>14</v>
      </c>
      <c r="C5" s="5">
        <v>180</v>
      </c>
      <c r="D5" s="3">
        <v>1</v>
      </c>
      <c r="E5" s="3" t="s">
        <v>10</v>
      </c>
      <c r="F5" s="3">
        <v>1000</v>
      </c>
      <c r="G5" s="5">
        <f>C5/(D5*F5)</f>
        <v>0</v>
      </c>
    </row>
    <row r="6" spans="1:7">
      <c r="A6" s="3" t="s">
        <v>15</v>
      </c>
      <c r="B6" s="4" t="s">
        <v>16</v>
      </c>
      <c r="C6" s="5">
        <v>120</v>
      </c>
      <c r="D6" s="3">
        <v>30</v>
      </c>
      <c r="E6" s="3" t="s">
        <v>17</v>
      </c>
      <c r="F6" s="3">
        <v>55</v>
      </c>
      <c r="G6" s="5">
        <f>C6/(D6*F6)</f>
        <v>0</v>
      </c>
    </row>
    <row r="7" spans="1:7">
      <c r="A7" s="3" t="s">
        <v>18</v>
      </c>
      <c r="B7" s="4" t="s">
        <v>19</v>
      </c>
      <c r="C7" s="5">
        <v>95</v>
      </c>
      <c r="D7" s="3">
        <v>2</v>
      </c>
      <c r="E7" s="3" t="s">
        <v>20</v>
      </c>
      <c r="F7" s="3">
        <v>1000</v>
      </c>
      <c r="G7" s="5">
        <f>C7/(D7*F7)</f>
        <v>0</v>
      </c>
    </row>
    <row r="8" spans="1:7">
      <c r="A8" s="3" t="s">
        <v>21</v>
      </c>
      <c r="B8" s="4" t="s">
        <v>22</v>
      </c>
      <c r="C8" s="5">
        <v>350</v>
      </c>
      <c r="D8" s="3">
        <v>1</v>
      </c>
      <c r="E8" s="3" t="s">
        <v>10</v>
      </c>
      <c r="F8" s="3">
        <v>1000</v>
      </c>
      <c r="G8" s="5">
        <f>C8/(D8*F8)</f>
        <v>0</v>
      </c>
    </row>
    <row r="9" spans="1:7">
      <c r="A9" s="3" t="s">
        <v>23</v>
      </c>
      <c r="B9" s="4" t="s">
        <v>24</v>
      </c>
      <c r="C9" s="5">
        <v>250</v>
      </c>
      <c r="D9" s="3">
        <v>1</v>
      </c>
      <c r="E9" s="3" t="s">
        <v>10</v>
      </c>
      <c r="F9" s="3">
        <v>1000</v>
      </c>
      <c r="G9" s="5">
        <f>C9/(D9*F9)</f>
        <v>0</v>
      </c>
    </row>
    <row r="10" spans="1:7">
      <c r="A10" s="3" t="s">
        <v>25</v>
      </c>
      <c r="B10" s="4" t="s">
        <v>26</v>
      </c>
      <c r="C10" s="5">
        <v>160</v>
      </c>
      <c r="D10" s="3">
        <v>1</v>
      </c>
      <c r="E10" s="3" t="s">
        <v>20</v>
      </c>
      <c r="F10" s="3">
        <v>1000</v>
      </c>
      <c r="G10" s="5">
        <f>C10/(D10*F10)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2" max="2" width="30.7109375" customWidth="1"/>
    <col min="3" max="6" width="18.7109375" customWidth="1"/>
  </cols>
  <sheetData>
    <row r="1" spans="1:6">
      <c r="A1" s="1" t="s">
        <v>27</v>
      </c>
    </row>
    <row r="2" spans="1:6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</row>
    <row r="3" spans="1:6">
      <c r="A3" s="3" t="s">
        <v>33</v>
      </c>
      <c r="B3" s="4" t="s">
        <v>34</v>
      </c>
      <c r="C3" s="5">
        <f>E22</f>
        <v>0</v>
      </c>
      <c r="D3" s="6">
        <v>0.6</v>
      </c>
      <c r="E3" s="5">
        <f>C3/(1-D3)</f>
        <v>0</v>
      </c>
      <c r="F3" s="7">
        <f>E3</f>
        <v>0</v>
      </c>
    </row>
    <row r="4" spans="1:6">
      <c r="A4" s="3" t="s">
        <v>44</v>
      </c>
      <c r="B4" s="4" t="s">
        <v>45</v>
      </c>
      <c r="C4" s="5">
        <f>E36</f>
        <v>0</v>
      </c>
      <c r="D4" s="6">
        <v>0.55</v>
      </c>
      <c r="E4" s="5">
        <f>C4/(1-D4)</f>
        <v>0</v>
      </c>
      <c r="F4" s="7">
        <f>E4</f>
        <v>0</v>
      </c>
    </row>
    <row r="5" spans="1:6">
      <c r="A5" s="3" t="s">
        <v>47</v>
      </c>
      <c r="B5" s="4" t="s">
        <v>48</v>
      </c>
      <c r="C5" s="5">
        <f>E50</f>
        <v>0</v>
      </c>
      <c r="D5" s="6">
        <v>0.5</v>
      </c>
      <c r="E5" s="5">
        <f>C5/(1-D5)</f>
        <v>0</v>
      </c>
      <c r="F5" s="7">
        <f>E5</f>
        <v>0</v>
      </c>
    </row>
    <row r="6" spans="1:6">
      <c r="A6" s="3" t="s">
        <v>50</v>
      </c>
      <c r="B6" s="4" t="s">
        <v>51</v>
      </c>
      <c r="C6" s="5">
        <f>E64</f>
        <v>0</v>
      </c>
      <c r="D6" s="6">
        <v>0.5</v>
      </c>
      <c r="E6" s="5">
        <f>C6/(1-D6)</f>
        <v>0</v>
      </c>
      <c r="F6" s="7">
        <f>E6</f>
        <v>0</v>
      </c>
    </row>
    <row r="7" spans="1:6">
      <c r="A7" s="3" t="s">
        <v>53</v>
      </c>
      <c r="B7" s="4" t="s">
        <v>54</v>
      </c>
      <c r="C7" s="5">
        <f>E78</f>
        <v>0</v>
      </c>
      <c r="D7" s="6">
        <v>0.6</v>
      </c>
      <c r="E7" s="5">
        <f>C7/(1-D7)</f>
        <v>0</v>
      </c>
      <c r="F7" s="7">
        <f>E7</f>
        <v>0</v>
      </c>
    </row>
    <row r="13" spans="1:6">
      <c r="A13" s="8" t="s">
        <v>35</v>
      </c>
    </row>
    <row r="14" spans="1:6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</row>
    <row r="15" spans="1:6">
      <c r="A15" s="4"/>
      <c r="B15" s="3">
        <v>0</v>
      </c>
      <c r="C15" s="5">
        <f>IFERROR(VLOOKUP(A15,'1_Inventory'!$B$3:$G$20,6,FALSE),0)</f>
        <v>0</v>
      </c>
      <c r="D15" s="5">
        <f>B15*C15</f>
        <v>0</v>
      </c>
    </row>
    <row r="16" spans="1:6">
      <c r="A16" s="4"/>
      <c r="B16" s="3">
        <v>0</v>
      </c>
      <c r="C16" s="5">
        <f>IFERROR(VLOOKUP(A16,'1_Inventory'!$B$3:$G$20,6,FALSE),0)</f>
        <v>0</v>
      </c>
      <c r="D16" s="5">
        <f>B16*C16</f>
        <v>0</v>
      </c>
    </row>
    <row r="17" spans="1:5">
      <c r="A17" s="4"/>
      <c r="B17" s="3">
        <v>0</v>
      </c>
      <c r="C17" s="5">
        <f>IFERROR(VLOOKUP(A17,'1_Inventory'!$B$3:$G$20,6,FALSE),0)</f>
        <v>0</v>
      </c>
      <c r="D17" s="5">
        <f>B17*C17</f>
        <v>0</v>
      </c>
    </row>
    <row r="18" spans="1:5">
      <c r="A18" s="4"/>
      <c r="B18" s="3">
        <v>0</v>
      </c>
      <c r="C18" s="5">
        <f>IFERROR(VLOOKUP(A18,'1_Inventory'!$B$3:$G$20,6,FALSE),0)</f>
        <v>0</v>
      </c>
      <c r="D18" s="5">
        <f>B18*C18</f>
        <v>0</v>
      </c>
    </row>
    <row r="19" spans="1:5">
      <c r="A19" s="4"/>
      <c r="B19" s="3">
        <v>0</v>
      </c>
      <c r="C19" s="5">
        <f>IFERROR(VLOOKUP(A19,'1_Inventory'!$B$3:$G$20,6,FALSE),0)</f>
        <v>0</v>
      </c>
      <c r="D19" s="5">
        <f>B19*C19</f>
        <v>0</v>
      </c>
    </row>
    <row r="20" spans="1:5">
      <c r="C20" s="2" t="s">
        <v>41</v>
      </c>
      <c r="D20" s="5">
        <f>SUM(D15:D19)</f>
        <v>0</v>
      </c>
    </row>
    <row r="21" spans="1:5">
      <c r="C21" s="2" t="s">
        <v>42</v>
      </c>
      <c r="D21" s="6">
        <v>0.1</v>
      </c>
    </row>
    <row r="22" spans="1:5">
      <c r="C22" s="7" t="s">
        <v>43</v>
      </c>
      <c r="D22" s="7">
        <f>D20/(1-D21)</f>
        <v>0</v>
      </c>
    </row>
    <row r="27" spans="1:5">
      <c r="A27" s="8" t="s">
        <v>46</v>
      </c>
    </row>
    <row r="28" spans="1:5">
      <c r="A28" s="2" t="s">
        <v>36</v>
      </c>
      <c r="B28" s="2" t="s">
        <v>37</v>
      </c>
      <c r="C28" s="2" t="s">
        <v>38</v>
      </c>
      <c r="D28" s="2" t="s">
        <v>39</v>
      </c>
      <c r="E28" s="2" t="s">
        <v>40</v>
      </c>
    </row>
    <row r="29" spans="1:5">
      <c r="A29" s="4"/>
      <c r="B29" s="3">
        <v>0</v>
      </c>
      <c r="C29" s="5">
        <f>IFERROR(VLOOKUP(A29,'1_Inventory'!$B$3:$G$20,6,FALSE),0)</f>
        <v>0</v>
      </c>
      <c r="D29" s="5">
        <f>B29*C29</f>
        <v>0</v>
      </c>
    </row>
    <row r="30" spans="1:5">
      <c r="A30" s="4"/>
      <c r="B30" s="3">
        <v>0</v>
      </c>
      <c r="C30" s="5">
        <f>IFERROR(VLOOKUP(A30,'1_Inventory'!$B$3:$G$20,6,FALSE),0)</f>
        <v>0</v>
      </c>
      <c r="D30" s="5">
        <f>B30*C30</f>
        <v>0</v>
      </c>
    </row>
    <row r="31" spans="1:5">
      <c r="A31" s="4"/>
      <c r="B31" s="3">
        <v>0</v>
      </c>
      <c r="C31" s="5">
        <f>IFERROR(VLOOKUP(A31,'1_Inventory'!$B$3:$G$20,6,FALSE),0)</f>
        <v>0</v>
      </c>
      <c r="D31" s="5">
        <f>B31*C31</f>
        <v>0</v>
      </c>
    </row>
    <row r="32" spans="1:5">
      <c r="A32" s="4"/>
      <c r="B32" s="3">
        <v>0</v>
      </c>
      <c r="C32" s="5">
        <f>IFERROR(VLOOKUP(A32,'1_Inventory'!$B$3:$G$20,6,FALSE),0)</f>
        <v>0</v>
      </c>
      <c r="D32" s="5">
        <f>B32*C32</f>
        <v>0</v>
      </c>
    </row>
    <row r="33" spans="1:5">
      <c r="A33" s="4"/>
      <c r="B33" s="3">
        <v>0</v>
      </c>
      <c r="C33" s="5">
        <f>IFERROR(VLOOKUP(A33,'1_Inventory'!$B$3:$G$20,6,FALSE),0)</f>
        <v>0</v>
      </c>
      <c r="D33" s="5">
        <f>B33*C33</f>
        <v>0</v>
      </c>
    </row>
    <row r="34" spans="1:5">
      <c r="C34" s="2" t="s">
        <v>41</v>
      </c>
      <c r="D34" s="5">
        <f>SUM(D29:D33)</f>
        <v>0</v>
      </c>
    </row>
    <row r="35" spans="1:5">
      <c r="C35" s="2" t="s">
        <v>42</v>
      </c>
      <c r="D35" s="6">
        <v>0.1</v>
      </c>
    </row>
    <row r="36" spans="1:5">
      <c r="C36" s="7" t="s">
        <v>43</v>
      </c>
      <c r="D36" s="7">
        <f>D34/(1-D35)</f>
        <v>0</v>
      </c>
    </row>
    <row r="41" spans="1:5">
      <c r="A41" s="8" t="s">
        <v>49</v>
      </c>
    </row>
    <row r="42" spans="1:5">
      <c r="A42" s="2" t="s">
        <v>36</v>
      </c>
      <c r="B42" s="2" t="s">
        <v>37</v>
      </c>
      <c r="C42" s="2" t="s">
        <v>38</v>
      </c>
      <c r="D42" s="2" t="s">
        <v>39</v>
      </c>
      <c r="E42" s="2" t="s">
        <v>40</v>
      </c>
    </row>
    <row r="43" spans="1:5">
      <c r="A43" s="4"/>
      <c r="B43" s="3">
        <v>0</v>
      </c>
      <c r="C43" s="5">
        <f>IFERROR(VLOOKUP(A43,'1_Inventory'!$B$3:$G$20,6,FALSE),0)</f>
        <v>0</v>
      </c>
      <c r="D43" s="5">
        <f>B43*C43</f>
        <v>0</v>
      </c>
    </row>
    <row r="44" spans="1:5">
      <c r="A44" s="4"/>
      <c r="B44" s="3">
        <v>0</v>
      </c>
      <c r="C44" s="5">
        <f>IFERROR(VLOOKUP(A44,'1_Inventory'!$B$3:$G$20,6,FALSE),0)</f>
        <v>0</v>
      </c>
      <c r="D44" s="5">
        <f>B44*C44</f>
        <v>0</v>
      </c>
    </row>
    <row r="45" spans="1:5">
      <c r="A45" s="4"/>
      <c r="B45" s="3">
        <v>0</v>
      </c>
      <c r="C45" s="5">
        <f>IFERROR(VLOOKUP(A45,'1_Inventory'!$B$3:$G$20,6,FALSE),0)</f>
        <v>0</v>
      </c>
      <c r="D45" s="5">
        <f>B45*C45</f>
        <v>0</v>
      </c>
    </row>
    <row r="46" spans="1:5">
      <c r="A46" s="4"/>
      <c r="B46" s="3">
        <v>0</v>
      </c>
      <c r="C46" s="5">
        <f>IFERROR(VLOOKUP(A46,'1_Inventory'!$B$3:$G$20,6,FALSE),0)</f>
        <v>0</v>
      </c>
      <c r="D46" s="5">
        <f>B46*C46</f>
        <v>0</v>
      </c>
    </row>
    <row r="47" spans="1:5">
      <c r="A47" s="4"/>
      <c r="B47" s="3">
        <v>0</v>
      </c>
      <c r="C47" s="5">
        <f>IFERROR(VLOOKUP(A47,'1_Inventory'!$B$3:$G$20,6,FALSE),0)</f>
        <v>0</v>
      </c>
      <c r="D47" s="5">
        <f>B47*C47</f>
        <v>0</v>
      </c>
    </row>
    <row r="48" spans="1:5">
      <c r="C48" s="2" t="s">
        <v>41</v>
      </c>
      <c r="D48" s="5">
        <f>SUM(D43:D47)</f>
        <v>0</v>
      </c>
    </row>
    <row r="49" spans="1:5">
      <c r="C49" s="2" t="s">
        <v>42</v>
      </c>
      <c r="D49" s="6">
        <v>0.1</v>
      </c>
    </row>
    <row r="50" spans="1:5">
      <c r="C50" s="7" t="s">
        <v>43</v>
      </c>
      <c r="D50" s="7">
        <f>D48/(1-D49)</f>
        <v>0</v>
      </c>
    </row>
    <row r="55" spans="1:5">
      <c r="A55" s="8" t="s">
        <v>52</v>
      </c>
    </row>
    <row r="56" spans="1:5">
      <c r="A56" s="2" t="s">
        <v>36</v>
      </c>
      <c r="B56" s="2" t="s">
        <v>37</v>
      </c>
      <c r="C56" s="2" t="s">
        <v>38</v>
      </c>
      <c r="D56" s="2" t="s">
        <v>39</v>
      </c>
      <c r="E56" s="2" t="s">
        <v>40</v>
      </c>
    </row>
    <row r="57" spans="1:5">
      <c r="A57" s="4"/>
      <c r="B57" s="3">
        <v>0</v>
      </c>
      <c r="C57" s="5">
        <f>IFERROR(VLOOKUP(A57,'1_Inventory'!$B$3:$G$20,6,FALSE),0)</f>
        <v>0</v>
      </c>
      <c r="D57" s="5">
        <f>B57*C57</f>
        <v>0</v>
      </c>
    </row>
    <row r="58" spans="1:5">
      <c r="A58" s="4"/>
      <c r="B58" s="3">
        <v>0</v>
      </c>
      <c r="C58" s="5">
        <f>IFERROR(VLOOKUP(A58,'1_Inventory'!$B$3:$G$20,6,FALSE),0)</f>
        <v>0</v>
      </c>
      <c r="D58" s="5">
        <f>B58*C58</f>
        <v>0</v>
      </c>
    </row>
    <row r="59" spans="1:5">
      <c r="A59" s="4"/>
      <c r="B59" s="3">
        <v>0</v>
      </c>
      <c r="C59" s="5">
        <f>IFERROR(VLOOKUP(A59,'1_Inventory'!$B$3:$G$20,6,FALSE),0)</f>
        <v>0</v>
      </c>
      <c r="D59" s="5">
        <f>B59*C59</f>
        <v>0</v>
      </c>
    </row>
    <row r="60" spans="1:5">
      <c r="A60" s="4"/>
      <c r="B60" s="3">
        <v>0</v>
      </c>
      <c r="C60" s="5">
        <f>IFERROR(VLOOKUP(A60,'1_Inventory'!$B$3:$G$20,6,FALSE),0)</f>
        <v>0</v>
      </c>
      <c r="D60" s="5">
        <f>B60*C60</f>
        <v>0</v>
      </c>
    </row>
    <row r="61" spans="1:5">
      <c r="A61" s="4"/>
      <c r="B61" s="3">
        <v>0</v>
      </c>
      <c r="C61" s="5">
        <f>IFERROR(VLOOKUP(A61,'1_Inventory'!$B$3:$G$20,6,FALSE),0)</f>
        <v>0</v>
      </c>
      <c r="D61" s="5">
        <f>B61*C61</f>
        <v>0</v>
      </c>
    </row>
    <row r="62" spans="1:5">
      <c r="C62" s="2" t="s">
        <v>41</v>
      </c>
      <c r="D62" s="5">
        <f>SUM(D57:D61)</f>
        <v>0</v>
      </c>
    </row>
    <row r="63" spans="1:5">
      <c r="C63" s="2" t="s">
        <v>42</v>
      </c>
      <c r="D63" s="6">
        <v>0.1</v>
      </c>
    </row>
    <row r="64" spans="1:5">
      <c r="C64" s="7" t="s">
        <v>43</v>
      </c>
      <c r="D64" s="7">
        <f>D62/(1-D63)</f>
        <v>0</v>
      </c>
    </row>
    <row r="69" spans="1:5">
      <c r="A69" s="8" t="s">
        <v>55</v>
      </c>
    </row>
    <row r="70" spans="1:5">
      <c r="A70" s="2" t="s">
        <v>36</v>
      </c>
      <c r="B70" s="2" t="s">
        <v>37</v>
      </c>
      <c r="C70" s="2" t="s">
        <v>38</v>
      </c>
      <c r="D70" s="2" t="s">
        <v>39</v>
      </c>
      <c r="E70" s="2" t="s">
        <v>40</v>
      </c>
    </row>
    <row r="71" spans="1:5">
      <c r="A71" s="4"/>
      <c r="B71" s="3">
        <v>0</v>
      </c>
      <c r="C71" s="5">
        <f>IFERROR(VLOOKUP(A71,'1_Inventory'!$B$3:$G$20,6,FALSE),0)</f>
        <v>0</v>
      </c>
      <c r="D71" s="5">
        <f>B71*C71</f>
        <v>0</v>
      </c>
    </row>
    <row r="72" spans="1:5">
      <c r="A72" s="4"/>
      <c r="B72" s="3">
        <v>0</v>
      </c>
      <c r="C72" s="5">
        <f>IFERROR(VLOOKUP(A72,'1_Inventory'!$B$3:$G$20,6,FALSE),0)</f>
        <v>0</v>
      </c>
      <c r="D72" s="5">
        <f>B72*C72</f>
        <v>0</v>
      </c>
    </row>
    <row r="73" spans="1:5">
      <c r="A73" s="4"/>
      <c r="B73" s="3">
        <v>0</v>
      </c>
      <c r="C73" s="5">
        <f>IFERROR(VLOOKUP(A73,'1_Inventory'!$B$3:$G$20,6,FALSE),0)</f>
        <v>0</v>
      </c>
      <c r="D73" s="5">
        <f>B73*C73</f>
        <v>0</v>
      </c>
    </row>
    <row r="74" spans="1:5">
      <c r="A74" s="4"/>
      <c r="B74" s="3">
        <v>0</v>
      </c>
      <c r="C74" s="5">
        <f>IFERROR(VLOOKUP(A74,'1_Inventory'!$B$3:$G$20,6,FALSE),0)</f>
        <v>0</v>
      </c>
      <c r="D74" s="5">
        <f>B74*C74</f>
        <v>0</v>
      </c>
    </row>
    <row r="75" spans="1:5">
      <c r="A75" s="4"/>
      <c r="B75" s="3">
        <v>0</v>
      </c>
      <c r="C75" s="5">
        <f>IFERROR(VLOOKUP(A75,'1_Inventory'!$B$3:$G$20,6,FALSE),0)</f>
        <v>0</v>
      </c>
      <c r="D75" s="5">
        <f>B75*C75</f>
        <v>0</v>
      </c>
    </row>
    <row r="76" spans="1:5">
      <c r="C76" s="2" t="s">
        <v>41</v>
      </c>
      <c r="D76" s="5">
        <f>SUM(D71:D75)</f>
        <v>0</v>
      </c>
    </row>
    <row r="77" spans="1:5">
      <c r="C77" s="2" t="s">
        <v>42</v>
      </c>
      <c r="D77" s="6">
        <v>0.1</v>
      </c>
    </row>
    <row r="78" spans="1:5">
      <c r="C78" s="7" t="s">
        <v>43</v>
      </c>
      <c r="D78" s="7">
        <f>D76/(1-D77)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cols>
    <col min="2" max="2" width="25.7109375" customWidth="1"/>
    <col min="3" max="8" width="15.7109375" customWidth="1"/>
  </cols>
  <sheetData>
    <row r="1" spans="1:8">
      <c r="A1" s="1" t="s">
        <v>56</v>
      </c>
    </row>
    <row r="2" spans="1:8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29</v>
      </c>
      <c r="H2" s="2" t="s">
        <v>63</v>
      </c>
    </row>
    <row r="3" spans="1:8">
      <c r="D3" s="5">
        <f>IFERROR(VLOOKUP(B3,'2_Recipe_Master'!$B$3:$F$7,5,FALSE),0)</f>
        <v>0</v>
      </c>
      <c r="E3" s="5">
        <f>IFERROR(VLOOKUP(B3,'2_Recipe_Master'!$B$3:$F$7,2,FALSE),0)</f>
        <v>0</v>
      </c>
      <c r="F3" s="5">
        <f>C3*D3</f>
        <v>0</v>
      </c>
      <c r="G3" s="5">
        <f>C3*E3</f>
        <v>0</v>
      </c>
      <c r="H3" s="5">
        <f>F3-G3</f>
        <v>0</v>
      </c>
    </row>
    <row r="4" spans="1:8">
      <c r="D4" s="5">
        <f>IFERROR(VLOOKUP(B4,'2_Recipe_Master'!$B$3:$F$7,5,FALSE),0)</f>
        <v>0</v>
      </c>
      <c r="E4" s="5">
        <f>IFERROR(VLOOKUP(B4,'2_Recipe_Master'!$B$3:$F$7,2,FALSE),0)</f>
        <v>0</v>
      </c>
      <c r="F4" s="5">
        <f>C4*D4</f>
        <v>0</v>
      </c>
      <c r="G4" s="5">
        <f>C4*E4</f>
        <v>0</v>
      </c>
      <c r="H4" s="5">
        <f>F4-G4</f>
        <v>0</v>
      </c>
    </row>
    <row r="5" spans="1:8">
      <c r="D5" s="5">
        <f>IFERROR(VLOOKUP(B5,'2_Recipe_Master'!$B$3:$F$7,5,FALSE),0)</f>
        <v>0</v>
      </c>
      <c r="E5" s="5">
        <f>IFERROR(VLOOKUP(B5,'2_Recipe_Master'!$B$3:$F$7,2,FALSE),0)</f>
        <v>0</v>
      </c>
      <c r="F5" s="5">
        <f>C5*D5</f>
        <v>0</v>
      </c>
      <c r="G5" s="5">
        <f>C5*E5</f>
        <v>0</v>
      </c>
      <c r="H5" s="5">
        <f>F5-G5</f>
        <v>0</v>
      </c>
    </row>
    <row r="6" spans="1:8">
      <c r="D6" s="5">
        <f>IFERROR(VLOOKUP(B6,'2_Recipe_Master'!$B$3:$F$7,5,FALSE),0)</f>
        <v>0</v>
      </c>
      <c r="E6" s="5">
        <f>IFERROR(VLOOKUP(B6,'2_Recipe_Master'!$B$3:$F$7,2,FALSE),0)</f>
        <v>0</v>
      </c>
      <c r="F6" s="5">
        <f>C6*D6</f>
        <v>0</v>
      </c>
      <c r="G6" s="5">
        <f>C6*E6</f>
        <v>0</v>
      </c>
      <c r="H6" s="5">
        <f>F6-G6</f>
        <v>0</v>
      </c>
    </row>
    <row r="7" spans="1:8">
      <c r="D7" s="5">
        <f>IFERROR(VLOOKUP(B7,'2_Recipe_Master'!$B$3:$F$7,5,FALSE),0)</f>
        <v>0</v>
      </c>
      <c r="E7" s="5">
        <f>IFERROR(VLOOKUP(B7,'2_Recipe_Master'!$B$3:$F$7,2,FALSE),0)</f>
        <v>0</v>
      </c>
      <c r="F7" s="5">
        <f>C7*D7</f>
        <v>0</v>
      </c>
      <c r="G7" s="5">
        <f>C7*E7</f>
        <v>0</v>
      </c>
      <c r="H7" s="5">
        <f>F7-G7</f>
        <v>0</v>
      </c>
    </row>
    <row r="8" spans="1:8">
      <c r="D8" s="5">
        <f>IFERROR(VLOOKUP(B8,'2_Recipe_Master'!$B$3:$F$7,5,FALSE),0)</f>
        <v>0</v>
      </c>
      <c r="E8" s="5">
        <f>IFERROR(VLOOKUP(B8,'2_Recipe_Master'!$B$3:$F$7,2,FALSE),0)</f>
        <v>0</v>
      </c>
      <c r="F8" s="5">
        <f>C8*D8</f>
        <v>0</v>
      </c>
      <c r="G8" s="5">
        <f>C8*E8</f>
        <v>0</v>
      </c>
      <c r="H8" s="5">
        <f>F8-G8</f>
        <v>0</v>
      </c>
    </row>
    <row r="9" spans="1:8">
      <c r="D9" s="5">
        <f>IFERROR(VLOOKUP(B9,'2_Recipe_Master'!$B$3:$F$7,5,FALSE),0)</f>
        <v>0</v>
      </c>
      <c r="E9" s="5">
        <f>IFERROR(VLOOKUP(B9,'2_Recipe_Master'!$B$3:$F$7,2,FALSE),0)</f>
        <v>0</v>
      </c>
      <c r="F9" s="5">
        <f>C9*D9</f>
        <v>0</v>
      </c>
      <c r="G9" s="5">
        <f>C9*E9</f>
        <v>0</v>
      </c>
      <c r="H9" s="5">
        <f>F9-G9</f>
        <v>0</v>
      </c>
    </row>
    <row r="10" spans="1:8">
      <c r="D10" s="5">
        <f>IFERROR(VLOOKUP(B10,'2_Recipe_Master'!$B$3:$F$7,5,FALSE),0)</f>
        <v>0</v>
      </c>
      <c r="E10" s="5">
        <f>IFERROR(VLOOKUP(B10,'2_Recipe_Master'!$B$3:$F$7,2,FALSE),0)</f>
        <v>0</v>
      </c>
      <c r="F10" s="5">
        <f>C10*D10</f>
        <v>0</v>
      </c>
      <c r="G10" s="5">
        <f>C10*E10</f>
        <v>0</v>
      </c>
      <c r="H10" s="5">
        <f>F10-G10</f>
        <v>0</v>
      </c>
    </row>
    <row r="11" spans="1:8">
      <c r="D11" s="5">
        <f>IFERROR(VLOOKUP(B11,'2_Recipe_Master'!$B$3:$F$7,5,FALSE),0)</f>
        <v>0</v>
      </c>
      <c r="E11" s="5">
        <f>IFERROR(VLOOKUP(B11,'2_Recipe_Master'!$B$3:$F$7,2,FALSE),0)</f>
        <v>0</v>
      </c>
      <c r="F11" s="5">
        <f>C11*D11</f>
        <v>0</v>
      </c>
      <c r="G11" s="5">
        <f>C11*E11</f>
        <v>0</v>
      </c>
      <c r="H11" s="5">
        <f>F11-G11</f>
        <v>0</v>
      </c>
    </row>
    <row r="12" spans="1:8">
      <c r="D12" s="5">
        <f>IFERROR(VLOOKUP(B12,'2_Recipe_Master'!$B$3:$F$7,5,FALSE),0)</f>
        <v>0</v>
      </c>
      <c r="E12" s="5">
        <f>IFERROR(VLOOKUP(B12,'2_Recipe_Master'!$B$3:$F$7,2,FALSE),0)</f>
        <v>0</v>
      </c>
      <c r="F12" s="5">
        <f>C12*D12</f>
        <v>0</v>
      </c>
      <c r="G12" s="5">
        <f>C12*E12</f>
        <v>0</v>
      </c>
      <c r="H12" s="5">
        <f>F12-G12</f>
        <v>0</v>
      </c>
    </row>
    <row r="13" spans="1:8">
      <c r="D13" s="5">
        <f>IFERROR(VLOOKUP(B13,'2_Recipe_Master'!$B$3:$F$7,5,FALSE),0)</f>
        <v>0</v>
      </c>
      <c r="E13" s="5">
        <f>IFERROR(VLOOKUP(B13,'2_Recipe_Master'!$B$3:$F$7,2,FALSE),0)</f>
        <v>0</v>
      </c>
      <c r="F13" s="5">
        <f>C13*D13</f>
        <v>0</v>
      </c>
      <c r="G13" s="5">
        <f>C13*E13</f>
        <v>0</v>
      </c>
      <c r="H13" s="5">
        <f>F13-G13</f>
        <v>0</v>
      </c>
    </row>
    <row r="14" spans="1:8">
      <c r="D14" s="5">
        <f>IFERROR(VLOOKUP(B14,'2_Recipe_Master'!$B$3:$F$7,5,FALSE),0)</f>
        <v>0</v>
      </c>
      <c r="E14" s="5">
        <f>IFERROR(VLOOKUP(B14,'2_Recipe_Master'!$B$3:$F$7,2,FALSE),0)</f>
        <v>0</v>
      </c>
      <c r="F14" s="5">
        <f>C14*D14</f>
        <v>0</v>
      </c>
      <c r="G14" s="5">
        <f>C14*E14</f>
        <v>0</v>
      </c>
      <c r="H14" s="5">
        <f>F14-G14</f>
        <v>0</v>
      </c>
    </row>
    <row r="15" spans="1:8">
      <c r="D15" s="5">
        <f>IFERROR(VLOOKUP(B15,'2_Recipe_Master'!$B$3:$F$7,5,FALSE),0)</f>
        <v>0</v>
      </c>
      <c r="E15" s="5">
        <f>IFERROR(VLOOKUP(B15,'2_Recipe_Master'!$B$3:$F$7,2,FALSE),0)</f>
        <v>0</v>
      </c>
      <c r="F15" s="5">
        <f>C15*D15</f>
        <v>0</v>
      </c>
      <c r="G15" s="5">
        <f>C15*E15</f>
        <v>0</v>
      </c>
      <c r="H15" s="5">
        <f>F15-G15</f>
        <v>0</v>
      </c>
    </row>
    <row r="16" spans="1:8">
      <c r="D16" s="5">
        <f>IFERROR(VLOOKUP(B16,'2_Recipe_Master'!$B$3:$F$7,5,FALSE),0)</f>
        <v>0</v>
      </c>
      <c r="E16" s="5">
        <f>IFERROR(VLOOKUP(B16,'2_Recipe_Master'!$B$3:$F$7,2,FALSE),0)</f>
        <v>0</v>
      </c>
      <c r="F16" s="5">
        <f>C16*D16</f>
        <v>0</v>
      </c>
      <c r="G16" s="5">
        <f>C16*E16</f>
        <v>0</v>
      </c>
      <c r="H16" s="5">
        <f>F16-G16</f>
        <v>0</v>
      </c>
    </row>
    <row r="17" spans="4:8">
      <c r="D17" s="5">
        <f>IFERROR(VLOOKUP(B17,'2_Recipe_Master'!$B$3:$F$7,5,FALSE),0)</f>
        <v>0</v>
      </c>
      <c r="E17" s="5">
        <f>IFERROR(VLOOKUP(B17,'2_Recipe_Master'!$B$3:$F$7,2,FALSE),0)</f>
        <v>0</v>
      </c>
      <c r="F17" s="5">
        <f>C17*D17</f>
        <v>0</v>
      </c>
      <c r="G17" s="5">
        <f>C17*E17</f>
        <v>0</v>
      </c>
      <c r="H17" s="5">
        <f>F17-G17</f>
        <v>0</v>
      </c>
    </row>
    <row r="18" spans="4:8">
      <c r="D18" s="5">
        <f>IFERROR(VLOOKUP(B18,'2_Recipe_Master'!$B$3:$F$7,5,FALSE),0)</f>
        <v>0</v>
      </c>
      <c r="E18" s="5">
        <f>IFERROR(VLOOKUP(B18,'2_Recipe_Master'!$B$3:$F$7,2,FALSE),0)</f>
        <v>0</v>
      </c>
      <c r="F18" s="5">
        <f>C18*D18</f>
        <v>0</v>
      </c>
      <c r="G18" s="5">
        <f>C18*E18</f>
        <v>0</v>
      </c>
      <c r="H18" s="5">
        <f>F18-G18</f>
        <v>0</v>
      </c>
    </row>
    <row r="19" spans="4:8">
      <c r="D19" s="5">
        <f>IFERROR(VLOOKUP(B19,'2_Recipe_Master'!$B$3:$F$7,5,FALSE),0)</f>
        <v>0</v>
      </c>
      <c r="E19" s="5">
        <f>IFERROR(VLOOKUP(B19,'2_Recipe_Master'!$B$3:$F$7,2,FALSE),0)</f>
        <v>0</v>
      </c>
      <c r="F19" s="5">
        <f>C19*D19</f>
        <v>0</v>
      </c>
      <c r="G19" s="5">
        <f>C19*E19</f>
        <v>0</v>
      </c>
      <c r="H19" s="5">
        <f>F19-G19</f>
        <v>0</v>
      </c>
    </row>
    <row r="20" spans="4:8">
      <c r="D20" s="5">
        <f>IFERROR(VLOOKUP(B20,'2_Recipe_Master'!$B$3:$F$7,5,FALSE),0)</f>
        <v>0</v>
      </c>
      <c r="E20" s="5">
        <f>IFERROR(VLOOKUP(B20,'2_Recipe_Master'!$B$3:$F$7,2,FALSE),0)</f>
        <v>0</v>
      </c>
      <c r="F20" s="5">
        <f>C20*D20</f>
        <v>0</v>
      </c>
      <c r="G20" s="5">
        <f>C20*E20</f>
        <v>0</v>
      </c>
      <c r="H20" s="5">
        <f>F20-G20</f>
        <v>0</v>
      </c>
    </row>
    <row r="21" spans="4:8">
      <c r="D21" s="5">
        <f>IFERROR(VLOOKUP(B21,'2_Recipe_Master'!$B$3:$F$7,5,FALSE),0)</f>
        <v>0</v>
      </c>
      <c r="E21" s="5">
        <f>IFERROR(VLOOKUP(B21,'2_Recipe_Master'!$B$3:$F$7,2,FALSE),0)</f>
        <v>0</v>
      </c>
      <c r="F21" s="5">
        <f>C21*D21</f>
        <v>0</v>
      </c>
      <c r="G21" s="5">
        <f>C21*E21</f>
        <v>0</v>
      </c>
      <c r="H21" s="5">
        <f>F21-G21</f>
        <v>0</v>
      </c>
    </row>
    <row r="22" spans="4:8">
      <c r="D22" s="5">
        <f>IFERROR(VLOOKUP(B22,'2_Recipe_Master'!$B$3:$F$7,5,FALSE),0)</f>
        <v>0</v>
      </c>
      <c r="E22" s="5">
        <f>IFERROR(VLOOKUP(B22,'2_Recipe_Master'!$B$3:$F$7,2,FALSE),0)</f>
        <v>0</v>
      </c>
      <c r="F22" s="5">
        <f>C22*D22</f>
        <v>0</v>
      </c>
      <c r="G22" s="5">
        <f>C22*E22</f>
        <v>0</v>
      </c>
      <c r="H22" s="5">
        <f>F22-G22</f>
        <v>0</v>
      </c>
    </row>
  </sheetData>
  <dataValidations count="1">
    <dataValidation type="list" allowBlank="1" showInputMessage="1" showErrorMessage="1" sqref="B3:B100">
      <formula1>'2_Recipe_Master'!$B$3:$B$7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</row>
    <row r="3" spans="1:2">
      <c r="A3" s="2" t="s">
        <v>65</v>
      </c>
      <c r="B3" s="5">
        <f>SUM('3_Daily_Sales'!F:F)</f>
        <v>0</v>
      </c>
    </row>
    <row r="4" spans="1:2">
      <c r="A4" s="2" t="s">
        <v>29</v>
      </c>
      <c r="B4" s="5">
        <f>SUM('3_Daily_Sales'!G:G)</f>
        <v>0</v>
      </c>
    </row>
    <row r="5" spans="1:2">
      <c r="A5" s="2" t="s">
        <v>66</v>
      </c>
      <c r="B5" s="7">
        <f>SUM('3_Daily_Sales'!H:H)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1_Inventory</vt:lpstr>
      <vt:lpstr>2_Recipe_Master</vt:lpstr>
      <vt:lpstr>3_Daily_Sales</vt:lpstr>
      <vt:lpstr>4_Dashboard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2025-12-28T14:02:09Z</dcterms:created>
  <dcterms:modified xsi:type="dcterms:W3CDTF">2025-12-28T14:02:09Z</dcterms:modified>
</cp:coreProperties>
</file>