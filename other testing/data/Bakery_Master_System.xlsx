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Inventory" sheetId="1" r:id="rId1"/>
    <sheet name="2_Recipe_Master" sheetId="2" r:id="rId2"/>
    <sheet name="3_Daily_Sales" sheetId="3" r:id="rId3"/>
    <sheet name="4_Dashboard" sheetId="4" r:id="rId4"/>
  </sheets>
  <calcPr calcId="124519" fullCalcOnLoad="1"/>
</workbook>
</file>

<file path=xl/sharedStrings.xml><?xml version="1.0" encoding="utf-8"?>
<sst xmlns="http://schemas.openxmlformats.org/spreadsheetml/2006/main" count="108" uniqueCount="72">
  <si>
    <t>Material_ID</t>
  </si>
  <si>
    <t>Material_Name</t>
  </si>
  <si>
    <t>Purchase_Price</t>
  </si>
  <si>
    <t>Purchase_Qty</t>
  </si>
  <si>
    <t>Purchase_Unit</t>
  </si>
  <si>
    <t>Unit_Conversion_g_ml</t>
  </si>
  <si>
    <t>Cost_Per_Unit_Use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</si>
  <si>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</si>
  <si>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</si>
  <si>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</si>
  <si>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</si>
  <si>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</si>
  <si>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</si>
  <si>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</si>
  <si>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</si>
  <si>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</si>
  <si>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</si>
  <si>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แป้งเค้ก (Cake Flour)</t>
  </si>
  <si>
    <t>น้ำตาลทราย (Sugar)</t>
  </si>
  <si>
    <t>เนยสด (Butter)</t>
  </si>
  <si>
    <t>ไข่ไก่ (Eggs)</t>
  </si>
  <si>
    <t>นมสด (Milk)</t>
  </si>
  <si>
    <t>ผงโกโก้ (Cocoa Powder)</t>
  </si>
  <si>
    <t>กลิ่นวานิลลา (Vanilla)</t>
  </si>
  <si>
    <t>สตรอว์เบอร์รีสด (Strawberry)</t>
  </si>
  <si>
    <t>วิปครีม (Whipping Cream)</t>
  </si>
  <si>
    <t>แป้งขนมปัง (Bread Flour)</t>
  </si>
  <si>
    <t>kg</t>
  </si>
  <si>
    <t>fong (pcs)</t>
  </si>
  <si>
    <t>L</t>
  </si>
  <si>
    <t>INVENTORY MASTER (ฐานข้อมูลวัตถุดิบ)</t>
  </si>
  <si>
    <t>MENU PRICE LIST (ตารางสรุปราคาขาย)</t>
  </si>
  <si>
    <t>Menu_ID</t>
  </si>
  <si>
    <t>Menu_Name</t>
  </si>
  <si>
    <t>Total_Cost</t>
  </si>
  <si>
    <t>Target_Margin%</t>
  </si>
  <si>
    <t>Rec_Price</t>
  </si>
  <si>
    <t>Final_Selling_Price</t>
  </si>
  <si>
    <t>MN01</t>
  </si>
  <si>
    <t>Strawberry Shortcake</t>
  </si>
  <si>
    <t>MN02</t>
  </si>
  <si>
    <t>Double Choc Brownie</t>
  </si>
  <si>
    <t>MN03</t>
  </si>
  <si>
    <t>Oatmeal Raisin Cookie</t>
  </si>
  <si>
    <t>MN04</t>
  </si>
  <si>
    <t>Butter Croissant</t>
  </si>
  <si>
    <t>MN05</t>
  </si>
  <si>
    <t>Coconut Pie</t>
  </si>
  <si>
    <t>RECIPE CARD: Strawberry Shortcake (MN01)</t>
  </si>
  <si>
    <t>Ingredient_Name</t>
  </si>
  <si>
    <t>Qty_Used (g)</t>
  </si>
  <si>
    <t>Cost/g (Link)</t>
  </si>
  <si>
    <t>Line_Cost</t>
  </si>
  <si>
    <t>Raw Cost</t>
  </si>
  <si>
    <t>Loss (10%)</t>
  </si>
  <si>
    <t>TOTAL COST</t>
  </si>
  <si>
    <t>RECIPE CARD: Double Choc Brownie (MN02)</t>
  </si>
  <si>
    <t>RECIPE CARD: Oatmeal Raisin Cookie (MN03)</t>
  </si>
  <si>
    <t>RECIPE CARD: Butter Croissant (MN04)</t>
  </si>
  <si>
    <t>RECIPE CARD: Coconut Pie (MN05)</t>
  </si>
  <si>
    <t>DAILY SALES LOG</t>
  </si>
  <si>
    <t>Date</t>
  </si>
  <si>
    <t>Menu_Item</t>
  </si>
  <si>
    <t>Qty_Sold</t>
  </si>
  <si>
    <t>Unit_Price</t>
  </si>
  <si>
    <t>Unit_Cost</t>
  </si>
  <si>
    <t>Total_Sales</t>
  </si>
  <si>
    <t>Gross_Profit</t>
  </si>
  <si>
    <t>BUSINESS DASHBOARD</t>
  </si>
  <si>
    <t>Total Sales</t>
  </si>
  <si>
    <t>Total Profit</t>
  </si>
  <si>
    <t>Avg Margin %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</si>
</sst>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3">
    <font>
      <sz val="11"/>
      <color theme="1"/>
      <name val="Calibri"/>
      <family val="2"/>
      <scheme val="minor"/>
    </font>
    <font>
      <b/>
      <sz val="14"/>
      <color rgb="FF274E1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2" max="2" width="30.7109375" customWidth="1"/>
    <col min="3" max="7" width="15.7109375" customWidth="1"/>
  </cols>
  <sheetData>
    <row r="1" spans="1:7">
      <c r="A1" s="1" t="s">
        <v>30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t="s">
        <v>7</v>
      </c>
      <c r="B3" t="s">
        <v>17</v>
      </c>
      <c r="C3">
        <v>45</v>
      </c>
      <c r="D3">
        <v>1</v>
      </c>
      <c r="E3" t="s">
        <v>27</v>
      </c>
      <c r="F3">
        <v>1000</v>
      </c>
      <c r="G3" s="3">
        <f>C3/(D3*F3)</f>
        <v>0</v>
      </c>
    </row>
    <row r="4" spans="1:7">
      <c r="A4" t="s">
        <v>8</v>
      </c>
      <c r="B4" t="s">
        <v>18</v>
      </c>
      <c r="C4">
        <v>24</v>
      </c>
      <c r="D4">
        <v>1</v>
      </c>
      <c r="E4" t="s">
        <v>27</v>
      </c>
      <c r="F4">
        <v>1000</v>
      </c>
      <c r="G4" s="3">
        <f>C4/(D4*F4)</f>
        <v>0</v>
      </c>
    </row>
    <row r="5" spans="1:7">
      <c r="A5" t="s">
        <v>9</v>
      </c>
      <c r="B5" t="s">
        <v>19</v>
      </c>
      <c r="C5">
        <v>180</v>
      </c>
      <c r="D5">
        <v>1</v>
      </c>
      <c r="E5" t="s">
        <v>27</v>
      </c>
      <c r="F5">
        <v>1000</v>
      </c>
      <c r="G5" s="3">
        <f>C5/(D5*F5)</f>
        <v>0</v>
      </c>
    </row>
    <row r="6" spans="1:7">
      <c r="A6" t="s">
        <v>10</v>
      </c>
      <c r="B6" t="s">
        <v>20</v>
      </c>
      <c r="C6">
        <v>120</v>
      </c>
      <c r="D6">
        <v>30</v>
      </c>
      <c r="E6" t="s">
        <v>28</v>
      </c>
      <c r="F6">
        <v>1</v>
      </c>
      <c r="G6" s="3">
        <f>C6/(D6*F6)</f>
        <v>0</v>
      </c>
    </row>
    <row r="7" spans="1:7">
      <c r="A7" t="s">
        <v>11</v>
      </c>
      <c r="B7" t="s">
        <v>21</v>
      </c>
      <c r="C7">
        <v>95</v>
      </c>
      <c r="D7">
        <v>2</v>
      </c>
      <c r="E7" t="s">
        <v>29</v>
      </c>
      <c r="F7">
        <v>1000</v>
      </c>
      <c r="G7" s="3">
        <f>C7/(D7*F7)</f>
        <v>0</v>
      </c>
    </row>
    <row r="8" spans="1:7">
      <c r="A8" t="s">
        <v>12</v>
      </c>
      <c r="B8" t="s">
        <v>22</v>
      </c>
      <c r="C8">
        <v>350</v>
      </c>
      <c r="D8">
        <v>1</v>
      </c>
      <c r="E8" t="s">
        <v>27</v>
      </c>
      <c r="F8">
        <v>1000</v>
      </c>
      <c r="G8" s="3">
        <f>C8/(D8*F8)</f>
        <v>0</v>
      </c>
    </row>
    <row r="9" spans="1:7">
      <c r="A9" t="s">
        <v>13</v>
      </c>
      <c r="B9" t="s">
        <v>23</v>
      </c>
      <c r="C9">
        <v>450</v>
      </c>
      <c r="D9">
        <v>0.5</v>
      </c>
      <c r="E9" t="s">
        <v>29</v>
      </c>
      <c r="F9">
        <v>1000</v>
      </c>
      <c r="G9" s="3">
        <f>C9/(D9*F9)</f>
        <v>0</v>
      </c>
    </row>
    <row r="10" spans="1:7">
      <c r="A10" t="s">
        <v>14</v>
      </c>
      <c r="B10" t="s">
        <v>24</v>
      </c>
      <c r="C10">
        <v>250</v>
      </c>
      <c r="D10">
        <v>1</v>
      </c>
      <c r="E10" t="s">
        <v>27</v>
      </c>
      <c r="F10">
        <v>1000</v>
      </c>
      <c r="G10" s="3">
        <f>C10/(D10*F10)</f>
        <v>0</v>
      </c>
    </row>
    <row r="11" spans="1:7">
      <c r="A11" t="s">
        <v>15</v>
      </c>
      <c r="B11" t="s">
        <v>25</v>
      </c>
      <c r="C11">
        <v>160</v>
      </c>
      <c r="D11">
        <v>1</v>
      </c>
      <c r="E11" t="s">
        <v>29</v>
      </c>
      <c r="F11">
        <v>1000</v>
      </c>
      <c r="G11" s="3">
        <f>C11/(D11*F11)</f>
        <v>0</v>
      </c>
    </row>
    <row r="12" spans="1:7">
      <c r="A12" t="s">
        <v>16</v>
      </c>
      <c r="B12" t="s">
        <v>26</v>
      </c>
      <c r="C12">
        <v>40</v>
      </c>
      <c r="D12">
        <v>1</v>
      </c>
      <c r="E12" t="s">
        <v>27</v>
      </c>
      <c r="F12">
        <v>1000</v>
      </c>
      <c r="G12" s="3">
        <f>C12/(D12*F12)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cols>
    <col min="2" max="2" width="25.7109375" customWidth="1"/>
  </cols>
  <sheetData>
    <row r="1" spans="1:6">
      <c r="A1" s="1" t="s">
        <v>31</v>
      </c>
    </row>
    <row r="2" spans="1:6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</row>
    <row r="3" spans="1:6">
      <c r="A3" s="5" t="s">
        <v>38</v>
      </c>
      <c r="B3" t="s">
        <v>39</v>
      </c>
      <c r="C3" s="3">
        <f>E23</f>
        <v>0</v>
      </c>
      <c r="D3" s="6">
        <v>0.6</v>
      </c>
      <c r="E3" s="3">
        <f>C3*(1+D3)</f>
        <v>0</v>
      </c>
      <c r="F3" s="3">
        <f>E3</f>
        <v>0</v>
      </c>
    </row>
    <row r="4" spans="1:6">
      <c r="A4" s="5" t="s">
        <v>40</v>
      </c>
      <c r="B4" t="s">
        <v>41</v>
      </c>
      <c r="C4" s="3">
        <f>E38</f>
        <v>0</v>
      </c>
      <c r="D4" s="6">
        <v>0.5</v>
      </c>
      <c r="E4" s="3">
        <f>C4*(1+D4)</f>
        <v>0</v>
      </c>
      <c r="F4" s="3">
        <f>E4</f>
        <v>0</v>
      </c>
    </row>
    <row r="5" spans="1:6">
      <c r="A5" s="5" t="s">
        <v>42</v>
      </c>
      <c r="B5" t="s">
        <v>43</v>
      </c>
      <c r="C5" s="3">
        <f>E53</f>
        <v>0</v>
      </c>
      <c r="D5" s="6">
        <v>0.5</v>
      </c>
      <c r="E5" s="3">
        <f>C5*(1+D5)</f>
        <v>0</v>
      </c>
      <c r="F5" s="3">
        <f>E5</f>
        <v>0</v>
      </c>
    </row>
    <row r="6" spans="1:6">
      <c r="A6" s="5" t="s">
        <v>44</v>
      </c>
      <c r="B6" t="s">
        <v>45</v>
      </c>
      <c r="C6" s="3">
        <f>E68</f>
        <v>0</v>
      </c>
      <c r="D6" s="6">
        <v>0.45</v>
      </c>
      <c r="E6" s="3">
        <f>C6*(1+D6)</f>
        <v>0</v>
      </c>
      <c r="F6" s="3">
        <f>E6</f>
        <v>0</v>
      </c>
    </row>
    <row r="7" spans="1:6">
      <c r="A7" s="5" t="s">
        <v>46</v>
      </c>
      <c r="B7" t="s">
        <v>47</v>
      </c>
      <c r="C7" s="3">
        <f>E83</f>
        <v>0</v>
      </c>
      <c r="D7" s="6">
        <v>0.55</v>
      </c>
      <c r="E7" s="3">
        <f>C7*(1+D7)</f>
        <v>0</v>
      </c>
      <c r="F7" s="3">
        <f>E7</f>
        <v>0</v>
      </c>
    </row>
    <row r="13" spans="1:6">
      <c r="A13" s="7" t="s">
        <v>48</v>
      </c>
    </row>
    <row r="14" spans="1:6">
      <c r="A14" s="4" t="s">
        <v>49</v>
      </c>
      <c r="B14" s="4" t="s">
        <v>50</v>
      </c>
      <c r="C14" s="4" t="s">
        <v>51</v>
      </c>
      <c r="D14" s="4" t="s">
        <v>52</v>
      </c>
    </row>
    <row r="15" spans="1:6">
      <c r="C15" s="3">
        <f>IFERROR(VLOOKUP(A14, '1_Inventory'!$B$2:$G$12, 6, FALSE), 0)</f>
        <v>0</v>
      </c>
      <c r="D15" s="3">
        <f>B14*C14</f>
        <v>0</v>
      </c>
    </row>
    <row r="16" spans="1:6">
      <c r="C16" s="3">
        <f>IFERROR(VLOOKUP(A15, '1_Inventory'!$B$2:$G$12, 6, FALSE), 0)</f>
        <v>0</v>
      </c>
      <c r="D16" s="3">
        <f>B15*C15</f>
        <v>0</v>
      </c>
    </row>
    <row r="17" spans="1:5">
      <c r="C17" s="3">
        <f>IFERROR(VLOOKUP(A16, '1_Inventory'!$B$2:$G$12, 6, FALSE), 0)</f>
        <v>0</v>
      </c>
      <c r="D17" s="3">
        <f>B16*C16</f>
        <v>0</v>
      </c>
    </row>
    <row r="18" spans="1:5">
      <c r="C18" s="3">
        <f>IFERROR(VLOOKUP(A17, '1_Inventory'!$B$2:$G$12, 6, FALSE), 0)</f>
        <v>0</v>
      </c>
      <c r="D18" s="3">
        <f>B17*C17</f>
        <v>0</v>
      </c>
    </row>
    <row r="19" spans="1:5">
      <c r="C19" s="3">
        <f>IFERROR(VLOOKUP(A18, '1_Inventory'!$B$2:$G$12, 6, FALSE), 0)</f>
        <v>0</v>
      </c>
      <c r="D19" s="3">
        <f>B18*C18</f>
        <v>0</v>
      </c>
    </row>
    <row r="20" spans="1:5">
      <c r="D20" s="7" t="s">
        <v>53</v>
      </c>
      <c r="E20" s="3">
        <f>SUM(D14:D19)</f>
        <v>0</v>
      </c>
    </row>
    <row r="21" spans="1:5">
      <c r="D21" s="7" t="s">
        <v>54</v>
      </c>
      <c r="E21" s="3">
        <f>E20*0.1</f>
        <v>0</v>
      </c>
    </row>
    <row r="22" spans="1:5">
      <c r="D22" s="8" t="s">
        <v>55</v>
      </c>
      <c r="E22" s="3">
        <f>E20+E21</f>
        <v>0</v>
      </c>
    </row>
    <row r="28" spans="1:5">
      <c r="A28" s="7" t="s">
        <v>56</v>
      </c>
    </row>
    <row r="29" spans="1:5">
      <c r="A29" s="4" t="s">
        <v>49</v>
      </c>
      <c r="B29" s="4" t="s">
        <v>50</v>
      </c>
      <c r="C29" s="4" t="s">
        <v>51</v>
      </c>
      <c r="D29" s="4" t="s">
        <v>52</v>
      </c>
    </row>
    <row r="30" spans="1:5">
      <c r="C30" s="3">
        <f>IFERROR(VLOOKUP(A29, '1_Inventory'!$B$2:$G$12, 6, FALSE), 0)</f>
        <v>0</v>
      </c>
      <c r="D30" s="3">
        <f>B29*C29</f>
        <v>0</v>
      </c>
    </row>
    <row r="31" spans="1:5">
      <c r="C31" s="3">
        <f>IFERROR(VLOOKUP(A30, '1_Inventory'!$B$2:$G$12, 6, FALSE), 0)</f>
        <v>0</v>
      </c>
      <c r="D31" s="3">
        <f>B30*C30</f>
        <v>0</v>
      </c>
    </row>
    <row r="32" spans="1:5">
      <c r="C32" s="3">
        <f>IFERROR(VLOOKUP(A31, '1_Inventory'!$B$2:$G$12, 6, FALSE), 0)</f>
        <v>0</v>
      </c>
      <c r="D32" s="3">
        <f>B31*C31</f>
        <v>0</v>
      </c>
    </row>
    <row r="33" spans="1:5">
      <c r="C33" s="3">
        <f>IFERROR(VLOOKUP(A32, '1_Inventory'!$B$2:$G$12, 6, FALSE), 0)</f>
        <v>0</v>
      </c>
      <c r="D33" s="3">
        <f>B32*C32</f>
        <v>0</v>
      </c>
    </row>
    <row r="34" spans="1:5">
      <c r="C34" s="3">
        <f>IFERROR(VLOOKUP(A33, '1_Inventory'!$B$2:$G$12, 6, FALSE), 0)</f>
        <v>0</v>
      </c>
      <c r="D34" s="3">
        <f>B33*C33</f>
        <v>0</v>
      </c>
    </row>
    <row r="35" spans="1:5">
      <c r="D35" s="7" t="s">
        <v>53</v>
      </c>
      <c r="E35" s="3">
        <f>SUM(D29:D34)</f>
        <v>0</v>
      </c>
    </row>
    <row r="36" spans="1:5">
      <c r="D36" s="7" t="s">
        <v>54</v>
      </c>
      <c r="E36" s="3">
        <f>E35*0.1</f>
        <v>0</v>
      </c>
    </row>
    <row r="37" spans="1:5">
      <c r="D37" s="8" t="s">
        <v>55</v>
      </c>
      <c r="E37" s="3">
        <f>E35+E36</f>
        <v>0</v>
      </c>
    </row>
    <row r="43" spans="1:5">
      <c r="A43" s="7" t="s">
        <v>57</v>
      </c>
    </row>
    <row r="44" spans="1:5">
      <c r="A44" s="4" t="s">
        <v>49</v>
      </c>
      <c r="B44" s="4" t="s">
        <v>50</v>
      </c>
      <c r="C44" s="4" t="s">
        <v>51</v>
      </c>
      <c r="D44" s="4" t="s">
        <v>52</v>
      </c>
    </row>
    <row r="45" spans="1:5">
      <c r="C45" s="3">
        <f>IFERROR(VLOOKUP(A44, '1_Inventory'!$B$2:$G$12, 6, FALSE), 0)</f>
        <v>0</v>
      </c>
      <c r="D45" s="3">
        <f>B44*C44</f>
        <v>0</v>
      </c>
    </row>
    <row r="46" spans="1:5">
      <c r="C46" s="3">
        <f>IFERROR(VLOOKUP(A45, '1_Inventory'!$B$2:$G$12, 6, FALSE), 0)</f>
        <v>0</v>
      </c>
      <c r="D46" s="3">
        <f>B45*C45</f>
        <v>0</v>
      </c>
    </row>
    <row r="47" spans="1:5">
      <c r="C47" s="3">
        <f>IFERROR(VLOOKUP(A46, '1_Inventory'!$B$2:$G$12, 6, FALSE), 0)</f>
        <v>0</v>
      </c>
      <c r="D47" s="3">
        <f>B46*C46</f>
        <v>0</v>
      </c>
    </row>
    <row r="48" spans="1:5">
      <c r="C48" s="3">
        <f>IFERROR(VLOOKUP(A47, '1_Inventory'!$B$2:$G$12, 6, FALSE), 0)</f>
        <v>0</v>
      </c>
      <c r="D48" s="3">
        <f>B47*C47</f>
        <v>0</v>
      </c>
    </row>
    <row r="49" spans="1:5">
      <c r="C49" s="3">
        <f>IFERROR(VLOOKUP(A48, '1_Inventory'!$B$2:$G$12, 6, FALSE), 0)</f>
        <v>0</v>
      </c>
      <c r="D49" s="3">
        <f>B48*C48</f>
        <v>0</v>
      </c>
    </row>
    <row r="50" spans="1:5">
      <c r="D50" s="7" t="s">
        <v>53</v>
      </c>
      <c r="E50" s="3">
        <f>SUM(D44:D49)</f>
        <v>0</v>
      </c>
    </row>
    <row r="51" spans="1:5">
      <c r="D51" s="7" t="s">
        <v>54</v>
      </c>
      <c r="E51" s="3">
        <f>E50*0.1</f>
        <v>0</v>
      </c>
    </row>
    <row r="52" spans="1:5">
      <c r="D52" s="8" t="s">
        <v>55</v>
      </c>
      <c r="E52" s="3">
        <f>E50+E51</f>
        <v>0</v>
      </c>
    </row>
    <row r="58" spans="1:5">
      <c r="A58" s="7" t="s">
        <v>58</v>
      </c>
    </row>
    <row r="59" spans="1:5">
      <c r="A59" s="4" t="s">
        <v>49</v>
      </c>
      <c r="B59" s="4" t="s">
        <v>50</v>
      </c>
      <c r="C59" s="4" t="s">
        <v>51</v>
      </c>
      <c r="D59" s="4" t="s">
        <v>52</v>
      </c>
    </row>
    <row r="60" spans="1:5">
      <c r="C60" s="3">
        <f>IFERROR(VLOOKUP(A59, '1_Inventory'!$B$2:$G$12, 6, FALSE), 0)</f>
        <v>0</v>
      </c>
      <c r="D60" s="3">
        <f>B59*C59</f>
        <v>0</v>
      </c>
    </row>
    <row r="61" spans="1:5">
      <c r="C61" s="3">
        <f>IFERROR(VLOOKUP(A60, '1_Inventory'!$B$2:$G$12, 6, FALSE), 0)</f>
        <v>0</v>
      </c>
      <c r="D61" s="3">
        <f>B60*C60</f>
        <v>0</v>
      </c>
    </row>
    <row r="62" spans="1:5">
      <c r="C62" s="3">
        <f>IFERROR(VLOOKUP(A61, '1_Inventory'!$B$2:$G$12, 6, FALSE), 0)</f>
        <v>0</v>
      </c>
      <c r="D62" s="3">
        <f>B61*C61</f>
        <v>0</v>
      </c>
    </row>
    <row r="63" spans="1:5">
      <c r="C63" s="3">
        <f>IFERROR(VLOOKUP(A62, '1_Inventory'!$B$2:$G$12, 6, FALSE), 0)</f>
        <v>0</v>
      </c>
      <c r="D63" s="3">
        <f>B62*C62</f>
        <v>0</v>
      </c>
    </row>
    <row r="64" spans="1:5">
      <c r="C64" s="3">
        <f>IFERROR(VLOOKUP(A63, '1_Inventory'!$B$2:$G$12, 6, FALSE), 0)</f>
        <v>0</v>
      </c>
      <c r="D64" s="3">
        <f>B63*C63</f>
        <v>0</v>
      </c>
    </row>
    <row r="65" spans="1:5">
      <c r="D65" s="7" t="s">
        <v>53</v>
      </c>
      <c r="E65" s="3">
        <f>SUM(D59:D64)</f>
        <v>0</v>
      </c>
    </row>
    <row r="66" spans="1:5">
      <c r="D66" s="7" t="s">
        <v>54</v>
      </c>
      <c r="E66" s="3">
        <f>E65*0.1</f>
        <v>0</v>
      </c>
    </row>
    <row r="67" spans="1:5">
      <c r="D67" s="8" t="s">
        <v>55</v>
      </c>
      <c r="E67" s="3">
        <f>E65+E66</f>
        <v>0</v>
      </c>
    </row>
    <row r="73" spans="1:5">
      <c r="A73" s="7" t="s">
        <v>59</v>
      </c>
    </row>
    <row r="74" spans="1:5">
      <c r="A74" s="4" t="s">
        <v>49</v>
      </c>
      <c r="B74" s="4" t="s">
        <v>50</v>
      </c>
      <c r="C74" s="4" t="s">
        <v>51</v>
      </c>
      <c r="D74" s="4" t="s">
        <v>52</v>
      </c>
    </row>
    <row r="75" spans="1:5">
      <c r="C75" s="3">
        <f>IFERROR(VLOOKUP(A74, '1_Inventory'!$B$2:$G$12, 6, FALSE), 0)</f>
        <v>0</v>
      </c>
      <c r="D75" s="3">
        <f>B74*C74</f>
        <v>0</v>
      </c>
    </row>
    <row r="76" spans="1:5">
      <c r="C76" s="3">
        <f>IFERROR(VLOOKUP(A75, '1_Inventory'!$B$2:$G$12, 6, FALSE), 0)</f>
        <v>0</v>
      </c>
      <c r="D76" s="3">
        <f>B75*C75</f>
        <v>0</v>
      </c>
    </row>
    <row r="77" spans="1:5">
      <c r="C77" s="3">
        <f>IFERROR(VLOOKUP(A76, '1_Inventory'!$B$2:$G$12, 6, FALSE), 0)</f>
        <v>0</v>
      </c>
      <c r="D77" s="3">
        <f>B76*C76</f>
        <v>0</v>
      </c>
    </row>
    <row r="78" spans="1:5">
      <c r="C78" s="3">
        <f>IFERROR(VLOOKUP(A77, '1_Inventory'!$B$2:$G$12, 6, FALSE), 0)</f>
        <v>0</v>
      </c>
      <c r="D78" s="3">
        <f>B77*C77</f>
        <v>0</v>
      </c>
    </row>
    <row r="79" spans="1:5">
      <c r="C79" s="3">
        <f>IFERROR(VLOOKUP(A78, '1_Inventory'!$B$2:$G$12, 6, FALSE), 0)</f>
        <v>0</v>
      </c>
      <c r="D79" s="3">
        <f>B78*C78</f>
        <v>0</v>
      </c>
    </row>
    <row r="80" spans="1:5">
      <c r="D80" s="7" t="s">
        <v>53</v>
      </c>
      <c r="E80" s="3">
        <f>SUM(D74:D79)</f>
        <v>0</v>
      </c>
    </row>
    <row r="81" spans="4:5">
      <c r="D81" s="7" t="s">
        <v>54</v>
      </c>
      <c r="E81" s="3">
        <f>E80*0.1</f>
        <v>0</v>
      </c>
    </row>
    <row r="82" spans="4:5">
      <c r="D82" s="8" t="s">
        <v>55</v>
      </c>
      <c r="E82" s="3">
        <f>E80+E81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2" max="2" width="25.7109375" customWidth="1"/>
    <col min="6" max="8" width="12.7109375" customWidth="1"/>
  </cols>
  <sheetData>
    <row r="1" spans="1:8">
      <c r="A1" s="1" t="s">
        <v>60</v>
      </c>
    </row>
    <row r="2" spans="1:8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34</v>
      </c>
      <c r="H2" s="4" t="s">
        <v>67</v>
      </c>
    </row>
    <row r="3" spans="1:8">
      <c r="D3" s="3">
        <f>IFERROR(VLOOKUP(B3, '2_Recipe_Master'!$B$2:$F$6, 5, FALSE), 0)</f>
        <v>0</v>
      </c>
      <c r="E3" s="3">
        <f>IFERROR(VLOOKUP(B3, '2_Recipe_Master'!$B$2:$F$6, 2, FALSE), 0)</f>
        <v>0</v>
      </c>
      <c r="F3" s="3">
        <f>C3*D3</f>
        <v>0</v>
      </c>
      <c r="G3" s="3">
        <f>C3*E3</f>
        <v>0</v>
      </c>
      <c r="H3" s="3">
        <f>F3-G3</f>
        <v>0</v>
      </c>
    </row>
    <row r="4" spans="1:8">
      <c r="D4" s="3">
        <f>IFERROR(VLOOKUP(B4, '2_Recipe_Master'!$B$2:$F$6, 5, FALSE), 0)</f>
        <v>0</v>
      </c>
      <c r="E4" s="3">
        <f>IFERROR(VLOOKUP(B4, '2_Recipe_Master'!$B$2:$F$6, 2, FALSE), 0)</f>
        <v>0</v>
      </c>
      <c r="F4" s="3">
        <f>C4*D4</f>
        <v>0</v>
      </c>
      <c r="G4" s="3">
        <f>C4*E4</f>
        <v>0</v>
      </c>
      <c r="H4" s="3">
        <f>F4-G4</f>
        <v>0</v>
      </c>
    </row>
    <row r="5" spans="1:8">
      <c r="D5" s="3">
        <f>IFERROR(VLOOKUP(B5, '2_Recipe_Master'!$B$2:$F$6, 5, FALSE), 0)</f>
        <v>0</v>
      </c>
      <c r="E5" s="3">
        <f>IFERROR(VLOOKUP(B5, '2_Recipe_Master'!$B$2:$F$6, 2, FALSE), 0)</f>
        <v>0</v>
      </c>
      <c r="F5" s="3">
        <f>C5*D5</f>
        <v>0</v>
      </c>
      <c r="G5" s="3">
        <f>C5*E5</f>
        <v>0</v>
      </c>
      <c r="H5" s="3">
        <f>F5-G5</f>
        <v>0</v>
      </c>
    </row>
    <row r="6" spans="1:8">
      <c r="D6" s="3">
        <f>IFERROR(VLOOKUP(B6, '2_Recipe_Master'!$B$2:$F$6, 5, FALSE), 0)</f>
        <v>0</v>
      </c>
      <c r="E6" s="3">
        <f>IFERROR(VLOOKUP(B6, '2_Recipe_Master'!$B$2:$F$6, 2, FALSE), 0)</f>
        <v>0</v>
      </c>
      <c r="F6" s="3">
        <f>C6*D6</f>
        <v>0</v>
      </c>
      <c r="G6" s="3">
        <f>C6*E6</f>
        <v>0</v>
      </c>
      <c r="H6" s="3">
        <f>F6-G6</f>
        <v>0</v>
      </c>
    </row>
    <row r="7" spans="1:8">
      <c r="D7" s="3">
        <f>IFERROR(VLOOKUP(B7, '2_Recipe_Master'!$B$2:$F$6, 5, FALSE), 0)</f>
        <v>0</v>
      </c>
      <c r="E7" s="3">
        <f>IFERROR(VLOOKUP(B7, '2_Recipe_Master'!$B$2:$F$6, 2, FALSE), 0)</f>
        <v>0</v>
      </c>
      <c r="F7" s="3">
        <f>C7*D7</f>
        <v>0</v>
      </c>
      <c r="G7" s="3">
        <f>C7*E7</f>
        <v>0</v>
      </c>
      <c r="H7" s="3">
        <f>F7-G7</f>
        <v>0</v>
      </c>
    </row>
    <row r="8" spans="1:8">
      <c r="D8" s="3">
        <f>IFERROR(VLOOKUP(B8, '2_Recipe_Master'!$B$2:$F$6, 5, FALSE), 0)</f>
        <v>0</v>
      </c>
      <c r="E8" s="3">
        <f>IFERROR(VLOOKUP(B8, '2_Recipe_Master'!$B$2:$F$6, 2, FALSE), 0)</f>
        <v>0</v>
      </c>
      <c r="F8" s="3">
        <f>C8*D8</f>
        <v>0</v>
      </c>
      <c r="G8" s="3">
        <f>C8*E8</f>
        <v>0</v>
      </c>
      <c r="H8" s="3">
        <f>F8-G8</f>
        <v>0</v>
      </c>
    </row>
    <row r="9" spans="1:8">
      <c r="D9" s="3">
        <f>IFERROR(VLOOKUP(B9, '2_Recipe_Master'!$B$2:$F$6, 5, FALSE), 0)</f>
        <v>0</v>
      </c>
      <c r="E9" s="3">
        <f>IFERROR(VLOOKUP(B9, '2_Recipe_Master'!$B$2:$F$6, 2, FALSE), 0)</f>
        <v>0</v>
      </c>
      <c r="F9" s="3">
        <f>C9*D9</f>
        <v>0</v>
      </c>
      <c r="G9" s="3">
        <f>C9*E9</f>
        <v>0</v>
      </c>
      <c r="H9" s="3">
        <f>F9-G9</f>
        <v>0</v>
      </c>
    </row>
    <row r="10" spans="1:8">
      <c r="D10" s="3">
        <f>IFERROR(VLOOKUP(B10, '2_Recipe_Master'!$B$2:$F$6, 5, FALSE), 0)</f>
        <v>0</v>
      </c>
      <c r="E10" s="3">
        <f>IFERROR(VLOOKUP(B10, '2_Recipe_Master'!$B$2:$F$6, 2, FALSE), 0)</f>
        <v>0</v>
      </c>
      <c r="F10" s="3">
        <f>C10*D10</f>
        <v>0</v>
      </c>
      <c r="G10" s="3">
        <f>C10*E10</f>
        <v>0</v>
      </c>
      <c r="H10" s="3">
        <f>F10-G10</f>
        <v>0</v>
      </c>
    </row>
    <row r="11" spans="1:8">
      <c r="D11" s="3">
        <f>IFERROR(VLOOKUP(B11, '2_Recipe_Master'!$B$2:$F$6, 5, FALSE), 0)</f>
        <v>0</v>
      </c>
      <c r="E11" s="3">
        <f>IFERROR(VLOOKUP(B11, '2_Recipe_Master'!$B$2:$F$6, 2, FALSE), 0)</f>
        <v>0</v>
      </c>
      <c r="F11" s="3">
        <f>C11*D11</f>
        <v>0</v>
      </c>
      <c r="G11" s="3">
        <f>C11*E11</f>
        <v>0</v>
      </c>
      <c r="H11" s="3">
        <f>F11-G11</f>
        <v>0</v>
      </c>
    </row>
    <row r="12" spans="1:8">
      <c r="D12" s="3">
        <f>IFERROR(VLOOKUP(B12, '2_Recipe_Master'!$B$2:$F$6, 5, FALSE), 0)</f>
        <v>0</v>
      </c>
      <c r="E12" s="3">
        <f>IFERROR(VLOOKUP(B12, '2_Recipe_Master'!$B$2:$F$6, 2, FALSE), 0)</f>
        <v>0</v>
      </c>
      <c r="F12" s="3">
        <f>C12*D12</f>
        <v>0</v>
      </c>
      <c r="G12" s="3">
        <f>C12*E12</f>
        <v>0</v>
      </c>
      <c r="H12" s="3">
        <f>F12-G12</f>
        <v>0</v>
      </c>
    </row>
  </sheetData>
  <dataValidations count="1">
    <dataValidation type="list" allowBlank="1" showInputMessage="1" showErrorMessage="1" sqref="B3:B100">
      <formula1>'2_Recipe_Master'!$B$2:$B$6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</row>
    <row r="3" spans="1:2">
      <c r="A3" s="7" t="s">
        <v>69</v>
      </c>
      <c r="B3" s="3">
        <f>SUM('3_Daily_Sales'!F:F)</f>
        <v>0</v>
      </c>
    </row>
    <row r="4" spans="1:2">
      <c r="A4" s="7" t="s">
        <v>70</v>
      </c>
      <c r="B4" s="3">
        <f>SUM('3_Daily_Sales'!H:H)</f>
        <v>0</v>
      </c>
    </row>
    <row r="5" spans="1:2">
      <c r="A5" s="7" t="s">
        <v>71</v>
      </c>
      <c r="B5" s="6">
        <f>IF(B3=0, 0, B4/B3)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1_Inventory</vt:lpstr>
      <vt:lpstr>2_Recipe_Master</vt:lpstr>
      <vt:lpstr>3_Daily_Sales</vt:lpstr>
      <vt:lpstr>4_Dashboard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2025-12-28T13:50:45Z</dcterms:created>
  <dcterms:modified xsi:type="dcterms:W3CDTF">2025-12-28T13:50:45Z</dcterms:modified>
</cp:coreProperties>
</file>