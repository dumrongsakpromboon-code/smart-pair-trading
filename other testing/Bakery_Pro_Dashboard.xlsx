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Inventory" sheetId="1" r:id="rId4"/>
    <sheet state="visible" name="2_Recipe_Master" sheetId="2" r:id="rId5"/>
    <sheet state="visible" name="3_Daily_Sales" sheetId="3" r:id="rId6"/>
    <sheet state="visible" name="4_Dashboard" sheetId="4" r:id="rId7"/>
  </sheets>
  <definedNames/>
  <calcPr/>
  <extLst>
    <ext uri="GoogleSheetsCustomDataVersion2">
      <go:sheetsCustomData xmlns:go="http://customooxmlschemas.google.com/" r:id="rId8" roundtripDataChecksum="TGpc0+zJS7EvHQnDEPfMV2A1Xt1sVkONckzXboF08G0="/>
    </ext>
  </extLst>
</workbook>
</file>

<file path=xl/sharedStrings.xml><?xml version="1.0" encoding="utf-8"?>
<sst xmlns="http://schemas.openxmlformats.org/spreadsheetml/2006/main" count="97" uniqueCount="64">
  <si>
    <t>INVENTORY MASTER</t>
  </si>
  <si>
    <t>ID</t>
  </si>
  <si>
    <t>Material Name</t>
  </si>
  <si>
    <t>Purchase Price</t>
  </si>
  <si>
    <t>Qty</t>
  </si>
  <si>
    <t>Unit</t>
  </si>
  <si>
    <t>G/Unit</t>
  </si>
  <si>
    <t>Cost/Gram</t>
  </si>
  <si>
    <t>M001</t>
  </si>
  <si>
    <t>แป้งเค้ก</t>
  </si>
  <si>
    <t>kg</t>
  </si>
  <si>
    <t>M002</t>
  </si>
  <si>
    <t>น้ำตาลทราย</t>
  </si>
  <si>
    <t>M003</t>
  </si>
  <si>
    <t>เนยสด</t>
  </si>
  <si>
    <t>M004</t>
  </si>
  <si>
    <t>ไข่ไก่</t>
  </si>
  <si>
    <t>pcs</t>
  </si>
  <si>
    <t>M005</t>
  </si>
  <si>
    <t>นมสด</t>
  </si>
  <si>
    <t>L</t>
  </si>
  <si>
    <t>M006</t>
  </si>
  <si>
    <t>สตรอว์เบอร์รี</t>
  </si>
  <si>
    <t>MENU PRICING</t>
  </si>
  <si>
    <t>Menu Name</t>
  </si>
  <si>
    <t>Total Cost</t>
  </si>
  <si>
    <t>Target Margin</t>
  </si>
  <si>
    <t>Rec. Price</t>
  </si>
  <si>
    <t>Final Price</t>
  </si>
  <si>
    <t>MN01</t>
  </si>
  <si>
    <t>Strawberry Shortcake</t>
  </si>
  <si>
    <t>MN02</t>
  </si>
  <si>
    <t>Double Choc Brownie</t>
  </si>
  <si>
    <t>MN03</t>
  </si>
  <si>
    <t>Oatmeal Cookie</t>
  </si>
  <si>
    <t>MN04</t>
  </si>
  <si>
    <t>Butter Croissant</t>
  </si>
  <si>
    <t>MN05</t>
  </si>
  <si>
    <t>Coconut Pie</t>
  </si>
  <si>
    <t>RECIPE: Strawberry Shortcake</t>
  </si>
  <si>
    <t>Ing</t>
  </si>
  <si>
    <t>Qty(g)</t>
  </si>
  <si>
    <t>Cost/g</t>
  </si>
  <si>
    <t>Line Cost</t>
  </si>
  <si>
    <t>Raw Cost</t>
  </si>
  <si>
    <t>Total (Loss 10%)</t>
  </si>
  <si>
    <t>RECIPE: Double Choc Brownie</t>
  </si>
  <si>
    <t>RECIPE: Oatmeal Cookie</t>
  </si>
  <si>
    <t>RECIPE: Butter Croissant</t>
  </si>
  <si>
    <t>RECIPE: Coconut Pie</t>
  </si>
  <si>
    <t>DAILY SALES LOG</t>
  </si>
  <si>
    <t>Date</t>
  </si>
  <si>
    <t>Item</t>
  </si>
  <si>
    <t>Price</t>
  </si>
  <si>
    <t>Cost</t>
  </si>
  <si>
    <t>Total Sales</t>
  </si>
  <si>
    <t>Profit</t>
  </si>
  <si>
    <t>OWNER DASHBOARD</t>
  </si>
  <si>
    <t>Last Update: Live</t>
  </si>
  <si>
    <t>Total Revenue</t>
  </si>
  <si>
    <t>Net Profit</t>
  </si>
  <si>
    <t>Avg Margin %</t>
  </si>
  <si>
    <t>Menu Analysis</t>
  </si>
  <si>
    <t>Total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</si>
</sst>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274E13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sz val="10.0"/>
      <color rgb="FF666666"/>
      <name val="Calibri"/>
    </font>
    <font/>
    <font>
      <b/>
      <u/>
      <sz val="12.0"/>
      <color rgb="FF555555"/>
      <name val="Calibri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4" xfId="0" applyAlignment="1" applyBorder="1" applyFont="1" applyNumberFormat="1">
      <alignment horizontal="right"/>
    </xf>
    <xf borderId="1" fillId="0" fontId="3" numFmtId="0" xfId="0" applyBorder="1" applyFont="1"/>
    <xf borderId="1" fillId="0" fontId="3" numFmtId="9" xfId="0" applyAlignment="1" applyBorder="1" applyFont="1" applyNumberFormat="1">
      <alignment horizontal="center"/>
    </xf>
    <xf borderId="1" fillId="3" fontId="3" numFmtId="4" xfId="0" applyBorder="1" applyFill="1" applyFont="1" applyNumberFormat="1"/>
    <xf borderId="2" fillId="4" fontId="2" numFmtId="0" xfId="0" applyBorder="1" applyFill="1" applyFont="1"/>
    <xf borderId="0" fillId="0" fontId="4" numFmtId="0" xfId="0" applyFont="1"/>
    <xf borderId="0" fillId="0" fontId="5" numFmtId="0" xfId="0" applyAlignment="1" applyFont="1">
      <alignment horizontal="right"/>
    </xf>
    <xf borderId="3" fillId="5" fontId="6" numFmtId="0" xfId="0" applyAlignment="1" applyBorder="1" applyFill="1" applyFont="1">
      <alignment horizontal="left"/>
    </xf>
    <xf borderId="4" fillId="0" fontId="7" numFmtId="0" xfId="0" applyBorder="1" applyFont="1"/>
    <xf borderId="0" fillId="0" fontId="8" numFmtId="0" xfId="0" applyFont="1"/>
    <xf borderId="5" fillId="5" fontId="9" numFmtId="4" xfId="0" applyAlignment="1" applyBorder="1" applyFont="1" applyNumberFormat="1">
      <alignment horizontal="left"/>
    </xf>
    <xf borderId="6" fillId="0" fontId="7" numFmtId="0" xfId="0" applyBorder="1" applyFont="1"/>
    <xf borderId="5" fillId="5" fontId="9" numFmtId="10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Best Selling Menus (ยอดขายตามเมนู)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 Amount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'4_Dashboard'!$K$5:$K$9</c:f>
            </c:strRef>
          </c:cat>
          <c:val>
            <c:numRef>
              <c:f>'4_Dashboard'!$M$5:$M$9</c:f>
              <c:numCache/>
            </c:numRef>
          </c:val>
        </c:ser>
        <c:axId val="737081326"/>
        <c:axId val="1094143964"/>
      </c:barChart>
      <c:catAx>
        <c:axId val="737081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143964"/>
      </c:catAx>
      <c:valAx>
        <c:axId val="1094143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08132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Trend (แนวโน้มกำไร 20 รายการล่าสุด)</a:t>
            </a:r>
          </a:p>
        </c:rich>
      </c:tx>
      <c:overlay val="0"/>
    </c:title>
    <c:plotArea>
      <c:layout/>
      <c:lineChart>
        <c:ser>
          <c:idx val="0"/>
          <c:order val="0"/>
          <c:tx>
            <c:v>Daily Profit</c:v>
          </c:tx>
          <c:spPr>
            <a:ln cmpd="sng" w="28575">
              <a:solidFill>
                <a:srgbClr val="4CAF5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CAF50">
                  <a:alpha val="100000"/>
                </a:srgbClr>
              </a:solidFill>
              <a:ln cmpd="sng">
                <a:solidFill>
                  <a:srgbClr val="4CAF50">
                    <a:alpha val="100000"/>
                  </a:srgbClr>
                </a:solidFill>
              </a:ln>
            </c:spPr>
          </c:marker>
          <c:val>
            <c:numRef>
              <c:f>'3_Daily_Sales'!$A$3:$A$22</c:f>
              <c:numCache/>
            </c:numRef>
          </c:val>
          <c:smooth val="0"/>
        </c:ser>
        <c:axId val="952182521"/>
        <c:axId val="1837019651"/>
      </c:lineChart>
      <c:catAx>
        <c:axId val="95218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019651"/>
      </c:catAx>
      <c:valAx>
        <c:axId val="1837019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 (THB)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18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8229600" cy="3457575"/>
    <xdr:graphicFrame>
      <xdr:nvGraphicFramePr>
        <xdr:cNvPr id="12976132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24</xdr:row>
      <xdr:rowOff>0</xdr:rowOff>
    </xdr:from>
    <xdr:ext cx="8229600" cy="3457575"/>
    <xdr:graphicFrame>
      <xdr:nvGraphicFramePr>
        <xdr:cNvPr id="16921375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7" width="12.71"/>
    <col customWidth="1" min="8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>
        <v>45.0</v>
      </c>
      <c r="D3" s="3">
        <v>1.0</v>
      </c>
      <c r="E3" s="3" t="s">
        <v>10</v>
      </c>
      <c r="F3" s="3">
        <v>1000.0</v>
      </c>
      <c r="G3" s="4">
        <f t="shared" ref="G3:G8" si="1">C3/(D3*F3)</f>
        <v>0.045</v>
      </c>
    </row>
    <row r="4">
      <c r="A4" s="3" t="s">
        <v>11</v>
      </c>
      <c r="B4" s="3" t="s">
        <v>12</v>
      </c>
      <c r="C4" s="3">
        <v>24.0</v>
      </c>
      <c r="D4" s="3">
        <v>1.0</v>
      </c>
      <c r="E4" s="3" t="s">
        <v>10</v>
      </c>
      <c r="F4" s="3">
        <v>1000.0</v>
      </c>
      <c r="G4" s="4">
        <f t="shared" si="1"/>
        <v>0.024</v>
      </c>
    </row>
    <row r="5">
      <c r="A5" s="3" t="s">
        <v>13</v>
      </c>
      <c r="B5" s="3" t="s">
        <v>14</v>
      </c>
      <c r="C5" s="3">
        <v>180.0</v>
      </c>
      <c r="D5" s="3">
        <v>1.0</v>
      </c>
      <c r="E5" s="3" t="s">
        <v>10</v>
      </c>
      <c r="F5" s="3">
        <v>1000.0</v>
      </c>
      <c r="G5" s="4">
        <f t="shared" si="1"/>
        <v>0.18</v>
      </c>
    </row>
    <row r="6">
      <c r="A6" s="3" t="s">
        <v>15</v>
      </c>
      <c r="B6" s="3" t="s">
        <v>16</v>
      </c>
      <c r="C6" s="3">
        <v>120.0</v>
      </c>
      <c r="D6" s="3">
        <v>30.0</v>
      </c>
      <c r="E6" s="3" t="s">
        <v>17</v>
      </c>
      <c r="F6" s="3">
        <v>55.0</v>
      </c>
      <c r="G6" s="4">
        <f t="shared" si="1"/>
        <v>0.07272727273</v>
      </c>
    </row>
    <row r="7">
      <c r="A7" s="3" t="s">
        <v>18</v>
      </c>
      <c r="B7" s="3" t="s">
        <v>19</v>
      </c>
      <c r="C7" s="3">
        <v>95.0</v>
      </c>
      <c r="D7" s="3">
        <v>2.0</v>
      </c>
      <c r="E7" s="3" t="s">
        <v>20</v>
      </c>
      <c r="F7" s="3">
        <v>1000.0</v>
      </c>
      <c r="G7" s="4">
        <f t="shared" si="1"/>
        <v>0.0475</v>
      </c>
    </row>
    <row r="8">
      <c r="A8" s="3" t="s">
        <v>21</v>
      </c>
      <c r="B8" s="3" t="s">
        <v>22</v>
      </c>
      <c r="C8" s="3">
        <v>250.0</v>
      </c>
      <c r="D8" s="3">
        <v>1.0</v>
      </c>
      <c r="E8" s="3" t="s">
        <v>10</v>
      </c>
      <c r="F8" s="3">
        <v>1000.0</v>
      </c>
      <c r="G8" s="4">
        <f t="shared" si="1"/>
        <v>0.25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6" width="15.71"/>
    <col customWidth="1" min="7" max="26" width="8.71"/>
  </cols>
  <sheetData>
    <row r="1">
      <c r="A1" s="1" t="s">
        <v>23</v>
      </c>
    </row>
    <row r="2">
      <c r="A2" s="2" t="s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</row>
    <row r="3">
      <c r="A3" s="3" t="s">
        <v>29</v>
      </c>
      <c r="B3" s="5" t="s">
        <v>30</v>
      </c>
      <c r="C3" s="4" t="str">
        <f>E19</f>
        <v/>
      </c>
      <c r="D3" s="6">
        <v>0.6</v>
      </c>
      <c r="E3" s="4">
        <f t="shared" ref="E3:E7" si="1">C3/(1-D3)</f>
        <v>0</v>
      </c>
      <c r="F3" s="7">
        <f t="shared" ref="F3:F7" si="2">E3</f>
        <v>0</v>
      </c>
    </row>
    <row r="4">
      <c r="A4" s="3" t="s">
        <v>31</v>
      </c>
      <c r="B4" s="5" t="s">
        <v>32</v>
      </c>
      <c r="C4" s="4" t="str">
        <f>E31</f>
        <v/>
      </c>
      <c r="D4" s="6">
        <v>0.55</v>
      </c>
      <c r="E4" s="4">
        <f t="shared" si="1"/>
        <v>0</v>
      </c>
      <c r="F4" s="7">
        <f t="shared" si="2"/>
        <v>0</v>
      </c>
    </row>
    <row r="5">
      <c r="A5" s="3" t="s">
        <v>33</v>
      </c>
      <c r="B5" s="5" t="s">
        <v>34</v>
      </c>
      <c r="C5" s="4" t="str">
        <f>E43</f>
        <v/>
      </c>
      <c r="D5" s="6">
        <v>0.5</v>
      </c>
      <c r="E5" s="4">
        <f t="shared" si="1"/>
        <v>0</v>
      </c>
      <c r="F5" s="7">
        <f t="shared" si="2"/>
        <v>0</v>
      </c>
    </row>
    <row r="6">
      <c r="A6" s="3" t="s">
        <v>35</v>
      </c>
      <c r="B6" s="5" t="s">
        <v>36</v>
      </c>
      <c r="C6" s="4" t="str">
        <f>E55</f>
        <v/>
      </c>
      <c r="D6" s="6">
        <v>0.5</v>
      </c>
      <c r="E6" s="4">
        <f t="shared" si="1"/>
        <v>0</v>
      </c>
      <c r="F6" s="7">
        <f t="shared" si="2"/>
        <v>0</v>
      </c>
    </row>
    <row r="7">
      <c r="A7" s="3" t="s">
        <v>37</v>
      </c>
      <c r="B7" s="5" t="s">
        <v>38</v>
      </c>
      <c r="C7" s="4" t="str">
        <f>E67</f>
        <v/>
      </c>
      <c r="D7" s="6">
        <v>0.6</v>
      </c>
      <c r="E7" s="4">
        <f t="shared" si="1"/>
        <v>0</v>
      </c>
      <c r="F7" s="7">
        <f t="shared" si="2"/>
        <v>0</v>
      </c>
    </row>
    <row r="11">
      <c r="A11" s="8" t="s">
        <v>39</v>
      </c>
    </row>
    <row r="12">
      <c r="A12" s="2" t="s">
        <v>40</v>
      </c>
      <c r="B12" s="2" t="s">
        <v>41</v>
      </c>
      <c r="C12" s="2" t="s">
        <v>42</v>
      </c>
      <c r="D12" s="2" t="s">
        <v>43</v>
      </c>
    </row>
    <row r="13">
      <c r="C13" s="4">
        <f>IFERROR(VLOOKUP(A13,'1_Inventory'!$B$3:$G$20,6,FALSE),0)</f>
        <v>0</v>
      </c>
      <c r="D13" s="4">
        <f t="shared" ref="D13:D17" si="3">B13*C13</f>
        <v>0</v>
      </c>
    </row>
    <row r="14">
      <c r="C14" s="4">
        <f>IFERROR(VLOOKUP(A14,'1_Inventory'!$B$3:$G$20,6,FALSE),0)</f>
        <v>0</v>
      </c>
      <c r="D14" s="4">
        <f t="shared" si="3"/>
        <v>0</v>
      </c>
    </row>
    <row r="15">
      <c r="C15" s="4">
        <f>IFERROR(VLOOKUP(A15,'1_Inventory'!$B$3:$G$20,6,FALSE),0)</f>
        <v>0</v>
      </c>
      <c r="D15" s="4">
        <f t="shared" si="3"/>
        <v>0</v>
      </c>
    </row>
    <row r="16">
      <c r="C16" s="4">
        <f>IFERROR(VLOOKUP(A16,'1_Inventory'!$B$3:$G$20,6,FALSE),0)</f>
        <v>0</v>
      </c>
      <c r="D16" s="4">
        <f t="shared" si="3"/>
        <v>0</v>
      </c>
    </row>
    <row r="17">
      <c r="C17" s="4">
        <f>IFERROR(VLOOKUP(A17,'1_Inventory'!$B$3:$G$20,6,FALSE),0)</f>
        <v>0</v>
      </c>
      <c r="D17" s="4">
        <f t="shared" si="3"/>
        <v>0</v>
      </c>
    </row>
    <row r="18">
      <c r="C18" s="2" t="s">
        <v>44</v>
      </c>
      <c r="D18" s="4">
        <f>SUM(D13:D17)</f>
        <v>0</v>
      </c>
    </row>
    <row r="19">
      <c r="C19" s="2" t="s">
        <v>45</v>
      </c>
      <c r="D19" s="4">
        <f>D18/0.9</f>
        <v>0</v>
      </c>
    </row>
    <row r="21" ht="15.75" customHeight="1"/>
    <row r="22" ht="15.75" customHeight="1"/>
    <row r="23" ht="15.75" customHeight="1">
      <c r="A23" s="8" t="s">
        <v>46</v>
      </c>
    </row>
    <row r="24" ht="15.75" customHeight="1">
      <c r="A24" s="2" t="s">
        <v>40</v>
      </c>
      <c r="B24" s="2" t="s">
        <v>41</v>
      </c>
      <c r="C24" s="2" t="s">
        <v>42</v>
      </c>
      <c r="D24" s="2" t="s">
        <v>43</v>
      </c>
    </row>
    <row r="25" ht="15.75" customHeight="1">
      <c r="C25" s="4">
        <f>IFERROR(VLOOKUP(A25,'1_Inventory'!$B$3:$G$20,6,FALSE),0)</f>
        <v>0</v>
      </c>
      <c r="D25" s="4">
        <f t="shared" ref="D25:D29" si="4">B25*C25</f>
        <v>0</v>
      </c>
    </row>
    <row r="26" ht="15.75" customHeight="1">
      <c r="C26" s="4">
        <f>IFERROR(VLOOKUP(A26,'1_Inventory'!$B$3:$G$20,6,FALSE),0)</f>
        <v>0</v>
      </c>
      <c r="D26" s="4">
        <f t="shared" si="4"/>
        <v>0</v>
      </c>
    </row>
    <row r="27" ht="15.75" customHeight="1">
      <c r="C27" s="4">
        <f>IFERROR(VLOOKUP(A27,'1_Inventory'!$B$3:$G$20,6,FALSE),0)</f>
        <v>0</v>
      </c>
      <c r="D27" s="4">
        <f t="shared" si="4"/>
        <v>0</v>
      </c>
    </row>
    <row r="28" ht="15.75" customHeight="1">
      <c r="C28" s="4">
        <f>IFERROR(VLOOKUP(A28,'1_Inventory'!$B$3:$G$20,6,FALSE),0)</f>
        <v>0</v>
      </c>
      <c r="D28" s="4">
        <f t="shared" si="4"/>
        <v>0</v>
      </c>
    </row>
    <row r="29" ht="15.75" customHeight="1">
      <c r="C29" s="4">
        <f>IFERROR(VLOOKUP(A29,'1_Inventory'!$B$3:$G$20,6,FALSE),0)</f>
        <v>0</v>
      </c>
      <c r="D29" s="4">
        <f t="shared" si="4"/>
        <v>0</v>
      </c>
    </row>
    <row r="30" ht="15.75" customHeight="1">
      <c r="C30" s="2" t="s">
        <v>44</v>
      </c>
      <c r="D30" s="4">
        <f>SUM(D25:D29)</f>
        <v>0</v>
      </c>
    </row>
    <row r="31" ht="15.75" customHeight="1">
      <c r="C31" s="2" t="s">
        <v>45</v>
      </c>
      <c r="D31" s="4">
        <f>D30/0.9</f>
        <v>0</v>
      </c>
    </row>
    <row r="32" ht="15.75" customHeight="1"/>
    <row r="33" ht="15.75" customHeight="1"/>
    <row r="34" ht="15.75" customHeight="1"/>
    <row r="35" ht="15.75" customHeight="1">
      <c r="A35" s="8" t="s">
        <v>47</v>
      </c>
    </row>
    <row r="36" ht="15.75" customHeight="1">
      <c r="A36" s="2" t="s">
        <v>40</v>
      </c>
      <c r="B36" s="2" t="s">
        <v>41</v>
      </c>
      <c r="C36" s="2" t="s">
        <v>42</v>
      </c>
      <c r="D36" s="2" t="s">
        <v>43</v>
      </c>
    </row>
    <row r="37" ht="15.75" customHeight="1">
      <c r="C37" s="4">
        <f>IFERROR(VLOOKUP(A37,'1_Inventory'!$B$3:$G$20,6,FALSE),0)</f>
        <v>0</v>
      </c>
      <c r="D37" s="4">
        <f t="shared" ref="D37:D41" si="5">B37*C37</f>
        <v>0</v>
      </c>
    </row>
    <row r="38" ht="15.75" customHeight="1">
      <c r="C38" s="4">
        <f>IFERROR(VLOOKUP(A38,'1_Inventory'!$B$3:$G$20,6,FALSE),0)</f>
        <v>0</v>
      </c>
      <c r="D38" s="4">
        <f t="shared" si="5"/>
        <v>0</v>
      </c>
    </row>
    <row r="39" ht="15.75" customHeight="1">
      <c r="C39" s="4">
        <f>IFERROR(VLOOKUP(A39,'1_Inventory'!$B$3:$G$20,6,FALSE),0)</f>
        <v>0</v>
      </c>
      <c r="D39" s="4">
        <f t="shared" si="5"/>
        <v>0</v>
      </c>
    </row>
    <row r="40" ht="15.75" customHeight="1">
      <c r="C40" s="4">
        <f>IFERROR(VLOOKUP(A40,'1_Inventory'!$B$3:$G$20,6,FALSE),0)</f>
        <v>0</v>
      </c>
      <c r="D40" s="4">
        <f t="shared" si="5"/>
        <v>0</v>
      </c>
    </row>
    <row r="41" ht="15.75" customHeight="1">
      <c r="C41" s="4">
        <f>IFERROR(VLOOKUP(A41,'1_Inventory'!$B$3:$G$20,6,FALSE),0)</f>
        <v>0</v>
      </c>
      <c r="D41" s="4">
        <f t="shared" si="5"/>
        <v>0</v>
      </c>
    </row>
    <row r="42" ht="15.75" customHeight="1">
      <c r="C42" s="2" t="s">
        <v>44</v>
      </c>
      <c r="D42" s="4">
        <f>SUM(D37:D41)</f>
        <v>0</v>
      </c>
    </row>
    <row r="43" ht="15.75" customHeight="1">
      <c r="C43" s="2" t="s">
        <v>45</v>
      </c>
      <c r="D43" s="4">
        <f>D42/0.9</f>
        <v>0</v>
      </c>
    </row>
    <row r="44" ht="15.75" customHeight="1"/>
    <row r="45" ht="15.75" customHeight="1"/>
    <row r="46" ht="15.75" customHeight="1"/>
    <row r="47" ht="15.75" customHeight="1">
      <c r="A47" s="8" t="s">
        <v>48</v>
      </c>
    </row>
    <row r="48" ht="15.75" customHeight="1">
      <c r="A48" s="2" t="s">
        <v>40</v>
      </c>
      <c r="B48" s="2" t="s">
        <v>41</v>
      </c>
      <c r="C48" s="2" t="s">
        <v>42</v>
      </c>
      <c r="D48" s="2" t="s">
        <v>43</v>
      </c>
    </row>
    <row r="49" ht="15.75" customHeight="1">
      <c r="C49" s="4">
        <f>IFERROR(VLOOKUP(A49,'1_Inventory'!$B$3:$G$20,6,FALSE),0)</f>
        <v>0</v>
      </c>
      <c r="D49" s="4">
        <f t="shared" ref="D49:D53" si="6">B49*C49</f>
        <v>0</v>
      </c>
    </row>
    <row r="50" ht="15.75" customHeight="1">
      <c r="C50" s="4">
        <f>IFERROR(VLOOKUP(A50,'1_Inventory'!$B$3:$G$20,6,FALSE),0)</f>
        <v>0</v>
      </c>
      <c r="D50" s="4">
        <f t="shared" si="6"/>
        <v>0</v>
      </c>
    </row>
    <row r="51" ht="15.75" customHeight="1">
      <c r="C51" s="4">
        <f>IFERROR(VLOOKUP(A51,'1_Inventory'!$B$3:$G$20,6,FALSE),0)</f>
        <v>0</v>
      </c>
      <c r="D51" s="4">
        <f t="shared" si="6"/>
        <v>0</v>
      </c>
    </row>
    <row r="52" ht="15.75" customHeight="1">
      <c r="C52" s="4">
        <f>IFERROR(VLOOKUP(A52,'1_Inventory'!$B$3:$G$20,6,FALSE),0)</f>
        <v>0</v>
      </c>
      <c r="D52" s="4">
        <f t="shared" si="6"/>
        <v>0</v>
      </c>
    </row>
    <row r="53" ht="15.75" customHeight="1">
      <c r="C53" s="4">
        <f>IFERROR(VLOOKUP(A53,'1_Inventory'!$B$3:$G$20,6,FALSE),0)</f>
        <v>0</v>
      </c>
      <c r="D53" s="4">
        <f t="shared" si="6"/>
        <v>0</v>
      </c>
    </row>
    <row r="54" ht="15.75" customHeight="1">
      <c r="C54" s="2" t="s">
        <v>44</v>
      </c>
      <c r="D54" s="4">
        <f>SUM(D49:D53)</f>
        <v>0</v>
      </c>
    </row>
    <row r="55" ht="15.75" customHeight="1">
      <c r="C55" s="2" t="s">
        <v>45</v>
      </c>
      <c r="D55" s="4">
        <f>D54/0.9</f>
        <v>0</v>
      </c>
    </row>
    <row r="56" ht="15.75" customHeight="1"/>
    <row r="57" ht="15.75" customHeight="1"/>
    <row r="58" ht="15.75" customHeight="1"/>
    <row r="59" ht="15.75" customHeight="1">
      <c r="A59" s="8" t="s">
        <v>49</v>
      </c>
    </row>
    <row r="60" ht="15.75" customHeight="1">
      <c r="A60" s="2" t="s">
        <v>40</v>
      </c>
      <c r="B60" s="2" t="s">
        <v>41</v>
      </c>
      <c r="C60" s="2" t="s">
        <v>42</v>
      </c>
      <c r="D60" s="2" t="s">
        <v>43</v>
      </c>
    </row>
    <row r="61" ht="15.75" customHeight="1">
      <c r="C61" s="4">
        <f>IFERROR(VLOOKUP(A61,'1_Inventory'!$B$3:$G$20,6,FALSE),0)</f>
        <v>0</v>
      </c>
      <c r="D61" s="4">
        <f t="shared" ref="D61:D65" si="7">B61*C61</f>
        <v>0</v>
      </c>
    </row>
    <row r="62" ht="15.75" customHeight="1">
      <c r="C62" s="4">
        <f>IFERROR(VLOOKUP(A62,'1_Inventory'!$B$3:$G$20,6,FALSE),0)</f>
        <v>0</v>
      </c>
      <c r="D62" s="4">
        <f t="shared" si="7"/>
        <v>0</v>
      </c>
    </row>
    <row r="63" ht="15.75" customHeight="1">
      <c r="C63" s="4">
        <f>IFERROR(VLOOKUP(A63,'1_Inventory'!$B$3:$G$20,6,FALSE),0)</f>
        <v>0</v>
      </c>
      <c r="D63" s="4">
        <f t="shared" si="7"/>
        <v>0</v>
      </c>
    </row>
    <row r="64" ht="15.75" customHeight="1">
      <c r="C64" s="4">
        <f>IFERROR(VLOOKUP(A64,'1_Inventory'!$B$3:$G$20,6,FALSE),0)</f>
        <v>0</v>
      </c>
      <c r="D64" s="4">
        <f t="shared" si="7"/>
        <v>0</v>
      </c>
    </row>
    <row r="65" ht="15.75" customHeight="1">
      <c r="C65" s="4">
        <f>IFERROR(VLOOKUP(A65,'1_Inventory'!$B$3:$G$20,6,FALSE),0)</f>
        <v>0</v>
      </c>
      <c r="D65" s="4">
        <f t="shared" si="7"/>
        <v>0</v>
      </c>
    </row>
    <row r="66" ht="15.75" customHeight="1">
      <c r="C66" s="2" t="s">
        <v>44</v>
      </c>
      <c r="D66" s="4">
        <f>SUM(D61:D65)</f>
        <v>0</v>
      </c>
    </row>
    <row r="67" ht="15.75" customHeight="1">
      <c r="C67" s="2" t="s">
        <v>45</v>
      </c>
      <c r="D67" s="4">
        <f>D66/0.9</f>
        <v>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5" width="8.71"/>
    <col customWidth="1" min="6" max="8" width="12.71"/>
    <col customWidth="1" min="9" max="26" width="8.71"/>
  </cols>
  <sheetData>
    <row r="1">
      <c r="A1" s="1" t="s">
        <v>50</v>
      </c>
    </row>
    <row r="2">
      <c r="A2" s="2" t="s">
        <v>51</v>
      </c>
      <c r="B2" s="2" t="s">
        <v>52</v>
      </c>
      <c r="C2" s="2" t="s">
        <v>4</v>
      </c>
      <c r="D2" s="2" t="s">
        <v>53</v>
      </c>
      <c r="E2" s="2" t="s">
        <v>54</v>
      </c>
      <c r="F2" s="2" t="s">
        <v>55</v>
      </c>
      <c r="G2" s="2" t="s">
        <v>25</v>
      </c>
      <c r="H2" s="2" t="s">
        <v>56</v>
      </c>
    </row>
    <row r="3">
      <c r="B3" s="9"/>
      <c r="D3" s="4">
        <f>IFERROR(VLOOKUP(B3,'2_Recipe_Master'!$B$3:$F$7,5,FALSE),0)</f>
        <v>0</v>
      </c>
      <c r="E3" s="4">
        <f>IFERROR(VLOOKUP(B3,'2_Recipe_Master'!$B$3:$F$7,2,FALSE),0)</f>
        <v>0</v>
      </c>
      <c r="F3" s="4">
        <f t="shared" ref="F3:F52" si="1">C3*D3</f>
        <v>0</v>
      </c>
      <c r="G3" s="4">
        <f t="shared" ref="G3:G52" si="2">C3*E3</f>
        <v>0</v>
      </c>
      <c r="H3" s="4">
        <f t="shared" ref="H3:H52" si="3">F3-G3</f>
        <v>0</v>
      </c>
    </row>
    <row r="4">
      <c r="B4" s="9"/>
      <c r="D4" s="4">
        <f>IFERROR(VLOOKUP(B4,'2_Recipe_Master'!$B$3:$F$7,5,FALSE),0)</f>
        <v>0</v>
      </c>
      <c r="E4" s="4">
        <f>IFERROR(VLOOKUP(B4,'2_Recipe_Master'!$B$3:$F$7,2,FALSE),0)</f>
        <v>0</v>
      </c>
      <c r="F4" s="4">
        <f t="shared" si="1"/>
        <v>0</v>
      </c>
      <c r="G4" s="4">
        <f t="shared" si="2"/>
        <v>0</v>
      </c>
      <c r="H4" s="4">
        <f t="shared" si="3"/>
        <v>0</v>
      </c>
    </row>
    <row r="5">
      <c r="B5" s="9"/>
      <c r="D5" s="4">
        <f>IFERROR(VLOOKUP(B5,'2_Recipe_Master'!$B$3:$F$7,5,FALSE),0)</f>
        <v>0</v>
      </c>
      <c r="E5" s="4">
        <f>IFERROR(VLOOKUP(B5,'2_Recipe_Master'!$B$3:$F$7,2,FALSE),0)</f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</row>
    <row r="6">
      <c r="B6" s="9"/>
      <c r="D6" s="4">
        <f>IFERROR(VLOOKUP(B6,'2_Recipe_Master'!$B$3:$F$7,5,FALSE),0)</f>
        <v>0</v>
      </c>
      <c r="E6" s="4">
        <f>IFERROR(VLOOKUP(B6,'2_Recipe_Master'!$B$3:$F$7,2,FALSE),0)</f>
        <v>0</v>
      </c>
      <c r="F6" s="4">
        <f t="shared" si="1"/>
        <v>0</v>
      </c>
      <c r="G6" s="4">
        <f t="shared" si="2"/>
        <v>0</v>
      </c>
      <c r="H6" s="4">
        <f t="shared" si="3"/>
        <v>0</v>
      </c>
    </row>
    <row r="7">
      <c r="B7" s="9"/>
      <c r="D7" s="4">
        <f>IFERROR(VLOOKUP(B7,'2_Recipe_Master'!$B$3:$F$7,5,FALSE),0)</f>
        <v>0</v>
      </c>
      <c r="E7" s="4">
        <f>IFERROR(VLOOKUP(B7,'2_Recipe_Master'!$B$3:$F$7,2,FALSE),0)</f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</row>
    <row r="8">
      <c r="B8" s="9"/>
      <c r="D8" s="4">
        <f>IFERROR(VLOOKUP(B8,'2_Recipe_Master'!$B$3:$F$7,5,FALSE),0)</f>
        <v>0</v>
      </c>
      <c r="E8" s="4">
        <f>IFERROR(VLOOKUP(B8,'2_Recipe_Master'!$B$3:$F$7,2,FALSE),0)</f>
        <v>0</v>
      </c>
      <c r="F8" s="4">
        <f t="shared" si="1"/>
        <v>0</v>
      </c>
      <c r="G8" s="4">
        <f t="shared" si="2"/>
        <v>0</v>
      </c>
      <c r="H8" s="4">
        <f t="shared" si="3"/>
        <v>0</v>
      </c>
    </row>
    <row r="9">
      <c r="B9" s="9"/>
      <c r="D9" s="4">
        <f>IFERROR(VLOOKUP(B9,'2_Recipe_Master'!$B$3:$F$7,5,FALSE),0)</f>
        <v>0</v>
      </c>
      <c r="E9" s="4">
        <f>IFERROR(VLOOKUP(B9,'2_Recipe_Master'!$B$3:$F$7,2,FALSE),0)</f>
        <v>0</v>
      </c>
      <c r="F9" s="4">
        <f t="shared" si="1"/>
        <v>0</v>
      </c>
      <c r="G9" s="4">
        <f t="shared" si="2"/>
        <v>0</v>
      </c>
      <c r="H9" s="4">
        <f t="shared" si="3"/>
        <v>0</v>
      </c>
    </row>
    <row r="10">
      <c r="B10" s="9"/>
      <c r="D10" s="4">
        <f>IFERROR(VLOOKUP(B10,'2_Recipe_Master'!$B$3:$F$7,5,FALSE),0)</f>
        <v>0</v>
      </c>
      <c r="E10" s="4">
        <f>IFERROR(VLOOKUP(B10,'2_Recipe_Master'!$B$3:$F$7,2,FALSE),0)</f>
        <v>0</v>
      </c>
      <c r="F10" s="4">
        <f t="shared" si="1"/>
        <v>0</v>
      </c>
      <c r="G10" s="4">
        <f t="shared" si="2"/>
        <v>0</v>
      </c>
      <c r="H10" s="4">
        <f t="shared" si="3"/>
        <v>0</v>
      </c>
    </row>
    <row r="11">
      <c r="B11" s="9"/>
      <c r="D11" s="4">
        <f>IFERROR(VLOOKUP(B11,'2_Recipe_Master'!$B$3:$F$7,5,FALSE),0)</f>
        <v>0</v>
      </c>
      <c r="E11" s="4">
        <f>IFERROR(VLOOKUP(B11,'2_Recipe_Master'!$B$3:$F$7,2,FALSE),0)</f>
        <v>0</v>
      </c>
      <c r="F11" s="4">
        <f t="shared" si="1"/>
        <v>0</v>
      </c>
      <c r="G11" s="4">
        <f t="shared" si="2"/>
        <v>0</v>
      </c>
      <c r="H11" s="4">
        <f t="shared" si="3"/>
        <v>0</v>
      </c>
    </row>
    <row r="12">
      <c r="B12" s="9"/>
      <c r="D12" s="4">
        <f>IFERROR(VLOOKUP(B12,'2_Recipe_Master'!$B$3:$F$7,5,FALSE),0)</f>
        <v>0</v>
      </c>
      <c r="E12" s="4">
        <f>IFERROR(VLOOKUP(B12,'2_Recipe_Master'!$B$3:$F$7,2,FALSE),0)</f>
        <v>0</v>
      </c>
      <c r="F12" s="4">
        <f t="shared" si="1"/>
        <v>0</v>
      </c>
      <c r="G12" s="4">
        <f t="shared" si="2"/>
        <v>0</v>
      </c>
      <c r="H12" s="4">
        <f t="shared" si="3"/>
        <v>0</v>
      </c>
    </row>
    <row r="13">
      <c r="B13" s="9"/>
      <c r="D13" s="4">
        <f>IFERROR(VLOOKUP(B13,'2_Recipe_Master'!$B$3:$F$7,5,FALSE),0)</f>
        <v>0</v>
      </c>
      <c r="E13" s="4">
        <f>IFERROR(VLOOKUP(B13,'2_Recipe_Master'!$B$3:$F$7,2,FALSE),0)</f>
        <v>0</v>
      </c>
      <c r="F13" s="4">
        <f t="shared" si="1"/>
        <v>0</v>
      </c>
      <c r="G13" s="4">
        <f t="shared" si="2"/>
        <v>0</v>
      </c>
      <c r="H13" s="4">
        <f t="shared" si="3"/>
        <v>0</v>
      </c>
    </row>
    <row r="14">
      <c r="B14" s="9"/>
      <c r="D14" s="4">
        <f>IFERROR(VLOOKUP(B14,'2_Recipe_Master'!$B$3:$F$7,5,FALSE),0)</f>
        <v>0</v>
      </c>
      <c r="E14" s="4">
        <f>IFERROR(VLOOKUP(B14,'2_Recipe_Master'!$B$3:$F$7,2,FALSE),0)</f>
        <v>0</v>
      </c>
      <c r="F14" s="4">
        <f t="shared" si="1"/>
        <v>0</v>
      </c>
      <c r="G14" s="4">
        <f t="shared" si="2"/>
        <v>0</v>
      </c>
      <c r="H14" s="4">
        <f t="shared" si="3"/>
        <v>0</v>
      </c>
    </row>
    <row r="15">
      <c r="B15" s="9"/>
      <c r="D15" s="4">
        <f>IFERROR(VLOOKUP(B15,'2_Recipe_Master'!$B$3:$F$7,5,FALSE),0)</f>
        <v>0</v>
      </c>
      <c r="E15" s="4">
        <f>IFERROR(VLOOKUP(B15,'2_Recipe_Master'!$B$3:$F$7,2,FALSE),0)</f>
        <v>0</v>
      </c>
      <c r="F15" s="4">
        <f t="shared" si="1"/>
        <v>0</v>
      </c>
      <c r="G15" s="4">
        <f t="shared" si="2"/>
        <v>0</v>
      </c>
      <c r="H15" s="4">
        <f t="shared" si="3"/>
        <v>0</v>
      </c>
    </row>
    <row r="16">
      <c r="B16" s="9"/>
      <c r="D16" s="4">
        <f>IFERROR(VLOOKUP(B16,'2_Recipe_Master'!$B$3:$F$7,5,FALSE),0)</f>
        <v>0</v>
      </c>
      <c r="E16" s="4">
        <f>IFERROR(VLOOKUP(B16,'2_Recipe_Master'!$B$3:$F$7,2,FALSE),0)</f>
        <v>0</v>
      </c>
      <c r="F16" s="4">
        <f t="shared" si="1"/>
        <v>0</v>
      </c>
      <c r="G16" s="4">
        <f t="shared" si="2"/>
        <v>0</v>
      </c>
      <c r="H16" s="4">
        <f t="shared" si="3"/>
        <v>0</v>
      </c>
    </row>
    <row r="17">
      <c r="B17" s="9"/>
      <c r="D17" s="4">
        <f>IFERROR(VLOOKUP(B17,'2_Recipe_Master'!$B$3:$F$7,5,FALSE),0)</f>
        <v>0</v>
      </c>
      <c r="E17" s="4">
        <f>IFERROR(VLOOKUP(B17,'2_Recipe_Master'!$B$3:$F$7,2,FALSE),0)</f>
        <v>0</v>
      </c>
      <c r="F17" s="4">
        <f t="shared" si="1"/>
        <v>0</v>
      </c>
      <c r="G17" s="4">
        <f t="shared" si="2"/>
        <v>0</v>
      </c>
      <c r="H17" s="4">
        <f t="shared" si="3"/>
        <v>0</v>
      </c>
    </row>
    <row r="18">
      <c r="B18" s="9"/>
      <c r="D18" s="4">
        <f>IFERROR(VLOOKUP(B18,'2_Recipe_Master'!$B$3:$F$7,5,FALSE),0)</f>
        <v>0</v>
      </c>
      <c r="E18" s="4">
        <f>IFERROR(VLOOKUP(B18,'2_Recipe_Master'!$B$3:$F$7,2,FALSE),0)</f>
        <v>0</v>
      </c>
      <c r="F18" s="4">
        <f t="shared" si="1"/>
        <v>0</v>
      </c>
      <c r="G18" s="4">
        <f t="shared" si="2"/>
        <v>0</v>
      </c>
      <c r="H18" s="4">
        <f t="shared" si="3"/>
        <v>0</v>
      </c>
    </row>
    <row r="19">
      <c r="B19" s="9"/>
      <c r="D19" s="4">
        <f>IFERROR(VLOOKUP(B19,'2_Recipe_Master'!$B$3:$F$7,5,FALSE),0)</f>
        <v>0</v>
      </c>
      <c r="E19" s="4">
        <f>IFERROR(VLOOKUP(B19,'2_Recipe_Master'!$B$3:$F$7,2,FALSE),0)</f>
        <v>0</v>
      </c>
      <c r="F19" s="4">
        <f t="shared" si="1"/>
        <v>0</v>
      </c>
      <c r="G19" s="4">
        <f t="shared" si="2"/>
        <v>0</v>
      </c>
      <c r="H19" s="4">
        <f t="shared" si="3"/>
        <v>0</v>
      </c>
    </row>
    <row r="20">
      <c r="B20" s="9"/>
      <c r="D20" s="4">
        <f>IFERROR(VLOOKUP(B20,'2_Recipe_Master'!$B$3:$F$7,5,FALSE),0)</f>
        <v>0</v>
      </c>
      <c r="E20" s="4">
        <f>IFERROR(VLOOKUP(B20,'2_Recipe_Master'!$B$3:$F$7,2,FALSE),0)</f>
        <v>0</v>
      </c>
      <c r="F20" s="4">
        <f t="shared" si="1"/>
        <v>0</v>
      </c>
      <c r="G20" s="4">
        <f t="shared" si="2"/>
        <v>0</v>
      </c>
      <c r="H20" s="4">
        <f t="shared" si="3"/>
        <v>0</v>
      </c>
    </row>
    <row r="21" ht="15.75" customHeight="1">
      <c r="B21" s="9"/>
      <c r="D21" s="4">
        <f>IFERROR(VLOOKUP(B21,'2_Recipe_Master'!$B$3:$F$7,5,FALSE),0)</f>
        <v>0</v>
      </c>
      <c r="E21" s="4">
        <f>IFERROR(VLOOKUP(B21,'2_Recipe_Master'!$B$3:$F$7,2,FALSE),0)</f>
        <v>0</v>
      </c>
      <c r="F21" s="4">
        <f t="shared" si="1"/>
        <v>0</v>
      </c>
      <c r="G21" s="4">
        <f t="shared" si="2"/>
        <v>0</v>
      </c>
      <c r="H21" s="4">
        <f t="shared" si="3"/>
        <v>0</v>
      </c>
    </row>
    <row r="22" ht="15.75" customHeight="1">
      <c r="B22" s="9"/>
      <c r="D22" s="4">
        <f>IFERROR(VLOOKUP(B22,'2_Recipe_Master'!$B$3:$F$7,5,FALSE),0)</f>
        <v>0</v>
      </c>
      <c r="E22" s="4">
        <f>IFERROR(VLOOKUP(B22,'2_Recipe_Master'!$B$3:$F$7,2,FALSE),0)</f>
        <v>0</v>
      </c>
      <c r="F22" s="4">
        <f t="shared" si="1"/>
        <v>0</v>
      </c>
      <c r="G22" s="4">
        <f t="shared" si="2"/>
        <v>0</v>
      </c>
      <c r="H22" s="4">
        <f t="shared" si="3"/>
        <v>0</v>
      </c>
    </row>
    <row r="23" ht="15.75" customHeight="1">
      <c r="B23" s="9"/>
      <c r="D23" s="4">
        <f>IFERROR(VLOOKUP(B23,'2_Recipe_Master'!$B$3:$F$7,5,FALSE),0)</f>
        <v>0</v>
      </c>
      <c r="E23" s="4">
        <f>IFERROR(VLOOKUP(B23,'2_Recipe_Master'!$B$3:$F$7,2,FALSE),0)</f>
        <v>0</v>
      </c>
      <c r="F23" s="4">
        <f t="shared" si="1"/>
        <v>0</v>
      </c>
      <c r="G23" s="4">
        <f t="shared" si="2"/>
        <v>0</v>
      </c>
      <c r="H23" s="4">
        <f t="shared" si="3"/>
        <v>0</v>
      </c>
    </row>
    <row r="24" ht="15.75" customHeight="1">
      <c r="B24" s="9"/>
      <c r="D24" s="4">
        <f>IFERROR(VLOOKUP(B24,'2_Recipe_Master'!$B$3:$F$7,5,FALSE),0)</f>
        <v>0</v>
      </c>
      <c r="E24" s="4">
        <f>IFERROR(VLOOKUP(B24,'2_Recipe_Master'!$B$3:$F$7,2,FALSE),0)</f>
        <v>0</v>
      </c>
      <c r="F24" s="4">
        <f t="shared" si="1"/>
        <v>0</v>
      </c>
      <c r="G24" s="4">
        <f t="shared" si="2"/>
        <v>0</v>
      </c>
      <c r="H24" s="4">
        <f t="shared" si="3"/>
        <v>0</v>
      </c>
    </row>
    <row r="25" ht="15.75" customHeight="1">
      <c r="B25" s="9"/>
      <c r="D25" s="4">
        <f>IFERROR(VLOOKUP(B25,'2_Recipe_Master'!$B$3:$F$7,5,FALSE),0)</f>
        <v>0</v>
      </c>
      <c r="E25" s="4">
        <f>IFERROR(VLOOKUP(B25,'2_Recipe_Master'!$B$3:$F$7,2,FALSE),0)</f>
        <v>0</v>
      </c>
      <c r="F25" s="4">
        <f t="shared" si="1"/>
        <v>0</v>
      </c>
      <c r="G25" s="4">
        <f t="shared" si="2"/>
        <v>0</v>
      </c>
      <c r="H25" s="4">
        <f t="shared" si="3"/>
        <v>0</v>
      </c>
    </row>
    <row r="26" ht="15.75" customHeight="1">
      <c r="B26" s="9"/>
      <c r="D26" s="4">
        <f>IFERROR(VLOOKUP(B26,'2_Recipe_Master'!$B$3:$F$7,5,FALSE),0)</f>
        <v>0</v>
      </c>
      <c r="E26" s="4">
        <f>IFERROR(VLOOKUP(B26,'2_Recipe_Master'!$B$3:$F$7,2,FALSE),0)</f>
        <v>0</v>
      </c>
      <c r="F26" s="4">
        <f t="shared" si="1"/>
        <v>0</v>
      </c>
      <c r="G26" s="4">
        <f t="shared" si="2"/>
        <v>0</v>
      </c>
      <c r="H26" s="4">
        <f t="shared" si="3"/>
        <v>0</v>
      </c>
    </row>
    <row r="27" ht="15.75" customHeight="1">
      <c r="B27" s="9"/>
      <c r="D27" s="4">
        <f>IFERROR(VLOOKUP(B27,'2_Recipe_Master'!$B$3:$F$7,5,FALSE),0)</f>
        <v>0</v>
      </c>
      <c r="E27" s="4">
        <f>IFERROR(VLOOKUP(B27,'2_Recipe_Master'!$B$3:$F$7,2,FALSE),0)</f>
        <v>0</v>
      </c>
      <c r="F27" s="4">
        <f t="shared" si="1"/>
        <v>0</v>
      </c>
      <c r="G27" s="4">
        <f t="shared" si="2"/>
        <v>0</v>
      </c>
      <c r="H27" s="4">
        <f t="shared" si="3"/>
        <v>0</v>
      </c>
    </row>
    <row r="28" ht="15.75" customHeight="1">
      <c r="B28" s="9"/>
      <c r="D28" s="4">
        <f>IFERROR(VLOOKUP(B28,'2_Recipe_Master'!$B$3:$F$7,5,FALSE),0)</f>
        <v>0</v>
      </c>
      <c r="E28" s="4">
        <f>IFERROR(VLOOKUP(B28,'2_Recipe_Master'!$B$3:$F$7,2,FALSE),0)</f>
        <v>0</v>
      </c>
      <c r="F28" s="4">
        <f t="shared" si="1"/>
        <v>0</v>
      </c>
      <c r="G28" s="4">
        <f t="shared" si="2"/>
        <v>0</v>
      </c>
      <c r="H28" s="4">
        <f t="shared" si="3"/>
        <v>0</v>
      </c>
    </row>
    <row r="29" ht="15.75" customHeight="1">
      <c r="B29" s="9"/>
      <c r="D29" s="4">
        <f>IFERROR(VLOOKUP(B29,'2_Recipe_Master'!$B$3:$F$7,5,FALSE),0)</f>
        <v>0</v>
      </c>
      <c r="E29" s="4">
        <f>IFERROR(VLOOKUP(B29,'2_Recipe_Master'!$B$3:$F$7,2,FALSE),0)</f>
        <v>0</v>
      </c>
      <c r="F29" s="4">
        <f t="shared" si="1"/>
        <v>0</v>
      </c>
      <c r="G29" s="4">
        <f t="shared" si="2"/>
        <v>0</v>
      </c>
      <c r="H29" s="4">
        <f t="shared" si="3"/>
        <v>0</v>
      </c>
    </row>
    <row r="30" ht="15.75" customHeight="1">
      <c r="B30" s="9"/>
      <c r="D30" s="4">
        <f>IFERROR(VLOOKUP(B30,'2_Recipe_Master'!$B$3:$F$7,5,FALSE),0)</f>
        <v>0</v>
      </c>
      <c r="E30" s="4">
        <f>IFERROR(VLOOKUP(B30,'2_Recipe_Master'!$B$3:$F$7,2,FALSE),0)</f>
        <v>0</v>
      </c>
      <c r="F30" s="4">
        <f t="shared" si="1"/>
        <v>0</v>
      </c>
      <c r="G30" s="4">
        <f t="shared" si="2"/>
        <v>0</v>
      </c>
      <c r="H30" s="4">
        <f t="shared" si="3"/>
        <v>0</v>
      </c>
    </row>
    <row r="31" ht="15.75" customHeight="1">
      <c r="B31" s="9"/>
      <c r="D31" s="4">
        <f>IFERROR(VLOOKUP(B31,'2_Recipe_Master'!$B$3:$F$7,5,FALSE),0)</f>
        <v>0</v>
      </c>
      <c r="E31" s="4">
        <f>IFERROR(VLOOKUP(B31,'2_Recipe_Master'!$B$3:$F$7,2,FALSE),0)</f>
        <v>0</v>
      </c>
      <c r="F31" s="4">
        <f t="shared" si="1"/>
        <v>0</v>
      </c>
      <c r="G31" s="4">
        <f t="shared" si="2"/>
        <v>0</v>
      </c>
      <c r="H31" s="4">
        <f t="shared" si="3"/>
        <v>0</v>
      </c>
    </row>
    <row r="32" ht="15.75" customHeight="1">
      <c r="B32" s="9"/>
      <c r="D32" s="4">
        <f>IFERROR(VLOOKUP(B32,'2_Recipe_Master'!$B$3:$F$7,5,FALSE),0)</f>
        <v>0</v>
      </c>
      <c r="E32" s="4">
        <f>IFERROR(VLOOKUP(B32,'2_Recipe_Master'!$B$3:$F$7,2,FALSE),0)</f>
        <v>0</v>
      </c>
      <c r="F32" s="4">
        <f t="shared" si="1"/>
        <v>0</v>
      </c>
      <c r="G32" s="4">
        <f t="shared" si="2"/>
        <v>0</v>
      </c>
      <c r="H32" s="4">
        <f t="shared" si="3"/>
        <v>0</v>
      </c>
    </row>
    <row r="33" ht="15.75" customHeight="1">
      <c r="B33" s="9"/>
      <c r="D33" s="4">
        <f>IFERROR(VLOOKUP(B33,'2_Recipe_Master'!$B$3:$F$7,5,FALSE),0)</f>
        <v>0</v>
      </c>
      <c r="E33" s="4">
        <f>IFERROR(VLOOKUP(B33,'2_Recipe_Master'!$B$3:$F$7,2,FALSE),0)</f>
        <v>0</v>
      </c>
      <c r="F33" s="4">
        <f t="shared" si="1"/>
        <v>0</v>
      </c>
      <c r="G33" s="4">
        <f t="shared" si="2"/>
        <v>0</v>
      </c>
      <c r="H33" s="4">
        <f t="shared" si="3"/>
        <v>0</v>
      </c>
    </row>
    <row r="34" ht="15.75" customHeight="1">
      <c r="B34" s="9"/>
      <c r="D34" s="4">
        <f>IFERROR(VLOOKUP(B34,'2_Recipe_Master'!$B$3:$F$7,5,FALSE),0)</f>
        <v>0</v>
      </c>
      <c r="E34" s="4">
        <f>IFERROR(VLOOKUP(B34,'2_Recipe_Master'!$B$3:$F$7,2,FALSE),0)</f>
        <v>0</v>
      </c>
      <c r="F34" s="4">
        <f t="shared" si="1"/>
        <v>0</v>
      </c>
      <c r="G34" s="4">
        <f t="shared" si="2"/>
        <v>0</v>
      </c>
      <c r="H34" s="4">
        <f t="shared" si="3"/>
        <v>0</v>
      </c>
    </row>
    <row r="35" ht="15.75" customHeight="1">
      <c r="B35" s="9"/>
      <c r="D35" s="4">
        <f>IFERROR(VLOOKUP(B35,'2_Recipe_Master'!$B$3:$F$7,5,FALSE),0)</f>
        <v>0</v>
      </c>
      <c r="E35" s="4">
        <f>IFERROR(VLOOKUP(B35,'2_Recipe_Master'!$B$3:$F$7,2,FALSE),0)</f>
        <v>0</v>
      </c>
      <c r="F35" s="4">
        <f t="shared" si="1"/>
        <v>0</v>
      </c>
      <c r="G35" s="4">
        <f t="shared" si="2"/>
        <v>0</v>
      </c>
      <c r="H35" s="4">
        <f t="shared" si="3"/>
        <v>0</v>
      </c>
    </row>
    <row r="36" ht="15.75" customHeight="1">
      <c r="B36" s="9"/>
      <c r="D36" s="4">
        <f>IFERROR(VLOOKUP(B36,'2_Recipe_Master'!$B$3:$F$7,5,FALSE),0)</f>
        <v>0</v>
      </c>
      <c r="E36" s="4">
        <f>IFERROR(VLOOKUP(B36,'2_Recipe_Master'!$B$3:$F$7,2,FALSE),0)</f>
        <v>0</v>
      </c>
      <c r="F36" s="4">
        <f t="shared" si="1"/>
        <v>0</v>
      </c>
      <c r="G36" s="4">
        <f t="shared" si="2"/>
        <v>0</v>
      </c>
      <c r="H36" s="4">
        <f t="shared" si="3"/>
        <v>0</v>
      </c>
    </row>
    <row r="37" ht="15.75" customHeight="1">
      <c r="B37" s="9"/>
      <c r="D37" s="4">
        <f>IFERROR(VLOOKUP(B37,'2_Recipe_Master'!$B$3:$F$7,5,FALSE),0)</f>
        <v>0</v>
      </c>
      <c r="E37" s="4">
        <f>IFERROR(VLOOKUP(B37,'2_Recipe_Master'!$B$3:$F$7,2,FALSE),0)</f>
        <v>0</v>
      </c>
      <c r="F37" s="4">
        <f t="shared" si="1"/>
        <v>0</v>
      </c>
      <c r="G37" s="4">
        <f t="shared" si="2"/>
        <v>0</v>
      </c>
      <c r="H37" s="4">
        <f t="shared" si="3"/>
        <v>0</v>
      </c>
    </row>
    <row r="38" ht="15.75" customHeight="1">
      <c r="B38" s="9"/>
      <c r="D38" s="4">
        <f>IFERROR(VLOOKUP(B38,'2_Recipe_Master'!$B$3:$F$7,5,FALSE),0)</f>
        <v>0</v>
      </c>
      <c r="E38" s="4">
        <f>IFERROR(VLOOKUP(B38,'2_Recipe_Master'!$B$3:$F$7,2,FALSE),0)</f>
        <v>0</v>
      </c>
      <c r="F38" s="4">
        <f t="shared" si="1"/>
        <v>0</v>
      </c>
      <c r="G38" s="4">
        <f t="shared" si="2"/>
        <v>0</v>
      </c>
      <c r="H38" s="4">
        <f t="shared" si="3"/>
        <v>0</v>
      </c>
    </row>
    <row r="39" ht="15.75" customHeight="1">
      <c r="B39" s="9"/>
      <c r="D39" s="4">
        <f>IFERROR(VLOOKUP(B39,'2_Recipe_Master'!$B$3:$F$7,5,FALSE),0)</f>
        <v>0</v>
      </c>
      <c r="E39" s="4">
        <f>IFERROR(VLOOKUP(B39,'2_Recipe_Master'!$B$3:$F$7,2,FALSE),0)</f>
        <v>0</v>
      </c>
      <c r="F39" s="4">
        <f t="shared" si="1"/>
        <v>0</v>
      </c>
      <c r="G39" s="4">
        <f t="shared" si="2"/>
        <v>0</v>
      </c>
      <c r="H39" s="4">
        <f t="shared" si="3"/>
        <v>0</v>
      </c>
    </row>
    <row r="40" ht="15.75" customHeight="1">
      <c r="B40" s="9"/>
      <c r="D40" s="4">
        <f>IFERROR(VLOOKUP(B40,'2_Recipe_Master'!$B$3:$F$7,5,FALSE),0)</f>
        <v>0</v>
      </c>
      <c r="E40" s="4">
        <f>IFERROR(VLOOKUP(B40,'2_Recipe_Master'!$B$3:$F$7,2,FALSE),0)</f>
        <v>0</v>
      </c>
      <c r="F40" s="4">
        <f t="shared" si="1"/>
        <v>0</v>
      </c>
      <c r="G40" s="4">
        <f t="shared" si="2"/>
        <v>0</v>
      </c>
      <c r="H40" s="4">
        <f t="shared" si="3"/>
        <v>0</v>
      </c>
    </row>
    <row r="41" ht="15.75" customHeight="1">
      <c r="B41" s="9"/>
      <c r="D41" s="4">
        <f>IFERROR(VLOOKUP(B41,'2_Recipe_Master'!$B$3:$F$7,5,FALSE),0)</f>
        <v>0</v>
      </c>
      <c r="E41" s="4">
        <f>IFERROR(VLOOKUP(B41,'2_Recipe_Master'!$B$3:$F$7,2,FALSE),0)</f>
        <v>0</v>
      </c>
      <c r="F41" s="4">
        <f t="shared" si="1"/>
        <v>0</v>
      </c>
      <c r="G41" s="4">
        <f t="shared" si="2"/>
        <v>0</v>
      </c>
      <c r="H41" s="4">
        <f t="shared" si="3"/>
        <v>0</v>
      </c>
    </row>
    <row r="42" ht="15.75" customHeight="1">
      <c r="B42" s="9"/>
      <c r="D42" s="4">
        <f>IFERROR(VLOOKUP(B42,'2_Recipe_Master'!$B$3:$F$7,5,FALSE),0)</f>
        <v>0</v>
      </c>
      <c r="E42" s="4">
        <f>IFERROR(VLOOKUP(B42,'2_Recipe_Master'!$B$3:$F$7,2,FALSE),0)</f>
        <v>0</v>
      </c>
      <c r="F42" s="4">
        <f t="shared" si="1"/>
        <v>0</v>
      </c>
      <c r="G42" s="4">
        <f t="shared" si="2"/>
        <v>0</v>
      </c>
      <c r="H42" s="4">
        <f t="shared" si="3"/>
        <v>0</v>
      </c>
    </row>
    <row r="43" ht="15.75" customHeight="1">
      <c r="B43" s="9"/>
      <c r="D43" s="4">
        <f>IFERROR(VLOOKUP(B43,'2_Recipe_Master'!$B$3:$F$7,5,FALSE),0)</f>
        <v>0</v>
      </c>
      <c r="E43" s="4">
        <f>IFERROR(VLOOKUP(B43,'2_Recipe_Master'!$B$3:$F$7,2,FALSE),0)</f>
        <v>0</v>
      </c>
      <c r="F43" s="4">
        <f t="shared" si="1"/>
        <v>0</v>
      </c>
      <c r="G43" s="4">
        <f t="shared" si="2"/>
        <v>0</v>
      </c>
      <c r="H43" s="4">
        <f t="shared" si="3"/>
        <v>0</v>
      </c>
    </row>
    <row r="44" ht="15.75" customHeight="1">
      <c r="B44" s="9"/>
      <c r="D44" s="4">
        <f>IFERROR(VLOOKUP(B44,'2_Recipe_Master'!$B$3:$F$7,5,FALSE),0)</f>
        <v>0</v>
      </c>
      <c r="E44" s="4">
        <f>IFERROR(VLOOKUP(B44,'2_Recipe_Master'!$B$3:$F$7,2,FALSE),0)</f>
        <v>0</v>
      </c>
      <c r="F44" s="4">
        <f t="shared" si="1"/>
        <v>0</v>
      </c>
      <c r="G44" s="4">
        <f t="shared" si="2"/>
        <v>0</v>
      </c>
      <c r="H44" s="4">
        <f t="shared" si="3"/>
        <v>0</v>
      </c>
    </row>
    <row r="45" ht="15.75" customHeight="1">
      <c r="B45" s="9"/>
      <c r="D45" s="4">
        <f>IFERROR(VLOOKUP(B45,'2_Recipe_Master'!$B$3:$F$7,5,FALSE),0)</f>
        <v>0</v>
      </c>
      <c r="E45" s="4">
        <f>IFERROR(VLOOKUP(B45,'2_Recipe_Master'!$B$3:$F$7,2,FALSE),0)</f>
        <v>0</v>
      </c>
      <c r="F45" s="4">
        <f t="shared" si="1"/>
        <v>0</v>
      </c>
      <c r="G45" s="4">
        <f t="shared" si="2"/>
        <v>0</v>
      </c>
      <c r="H45" s="4">
        <f t="shared" si="3"/>
        <v>0</v>
      </c>
    </row>
    <row r="46" ht="15.75" customHeight="1">
      <c r="B46" s="9"/>
      <c r="D46" s="4">
        <f>IFERROR(VLOOKUP(B46,'2_Recipe_Master'!$B$3:$F$7,5,FALSE),0)</f>
        <v>0</v>
      </c>
      <c r="E46" s="4">
        <f>IFERROR(VLOOKUP(B46,'2_Recipe_Master'!$B$3:$F$7,2,FALSE),0)</f>
        <v>0</v>
      </c>
      <c r="F46" s="4">
        <f t="shared" si="1"/>
        <v>0</v>
      </c>
      <c r="G46" s="4">
        <f t="shared" si="2"/>
        <v>0</v>
      </c>
      <c r="H46" s="4">
        <f t="shared" si="3"/>
        <v>0</v>
      </c>
    </row>
    <row r="47" ht="15.75" customHeight="1">
      <c r="B47" s="9"/>
      <c r="D47" s="4">
        <f>IFERROR(VLOOKUP(B47,'2_Recipe_Master'!$B$3:$F$7,5,FALSE),0)</f>
        <v>0</v>
      </c>
      <c r="E47" s="4">
        <f>IFERROR(VLOOKUP(B47,'2_Recipe_Master'!$B$3:$F$7,2,FALSE),0)</f>
        <v>0</v>
      </c>
      <c r="F47" s="4">
        <f t="shared" si="1"/>
        <v>0</v>
      </c>
      <c r="G47" s="4">
        <f t="shared" si="2"/>
        <v>0</v>
      </c>
      <c r="H47" s="4">
        <f t="shared" si="3"/>
        <v>0</v>
      </c>
    </row>
    <row r="48" ht="15.75" customHeight="1">
      <c r="B48" s="9"/>
      <c r="D48" s="4">
        <f>IFERROR(VLOOKUP(B48,'2_Recipe_Master'!$B$3:$F$7,5,FALSE),0)</f>
        <v>0</v>
      </c>
      <c r="E48" s="4">
        <f>IFERROR(VLOOKUP(B48,'2_Recipe_Master'!$B$3:$F$7,2,FALSE),0)</f>
        <v>0</v>
      </c>
      <c r="F48" s="4">
        <f t="shared" si="1"/>
        <v>0</v>
      </c>
      <c r="G48" s="4">
        <f t="shared" si="2"/>
        <v>0</v>
      </c>
      <c r="H48" s="4">
        <f t="shared" si="3"/>
        <v>0</v>
      </c>
    </row>
    <row r="49" ht="15.75" customHeight="1">
      <c r="B49" s="9"/>
      <c r="D49" s="4">
        <f>IFERROR(VLOOKUP(B49,'2_Recipe_Master'!$B$3:$F$7,5,FALSE),0)</f>
        <v>0</v>
      </c>
      <c r="E49" s="4">
        <f>IFERROR(VLOOKUP(B49,'2_Recipe_Master'!$B$3:$F$7,2,FALSE),0)</f>
        <v>0</v>
      </c>
      <c r="F49" s="4">
        <f t="shared" si="1"/>
        <v>0</v>
      </c>
      <c r="G49" s="4">
        <f t="shared" si="2"/>
        <v>0</v>
      </c>
      <c r="H49" s="4">
        <f t="shared" si="3"/>
        <v>0</v>
      </c>
    </row>
    <row r="50" ht="15.75" customHeight="1">
      <c r="B50" s="9"/>
      <c r="D50" s="4">
        <f>IFERROR(VLOOKUP(B50,'2_Recipe_Master'!$B$3:$F$7,5,FALSE),0)</f>
        <v>0</v>
      </c>
      <c r="E50" s="4">
        <f>IFERROR(VLOOKUP(B50,'2_Recipe_Master'!$B$3:$F$7,2,FALSE),0)</f>
        <v>0</v>
      </c>
      <c r="F50" s="4">
        <f t="shared" si="1"/>
        <v>0</v>
      </c>
      <c r="G50" s="4">
        <f t="shared" si="2"/>
        <v>0</v>
      </c>
      <c r="H50" s="4">
        <f t="shared" si="3"/>
        <v>0</v>
      </c>
    </row>
    <row r="51" ht="15.75" customHeight="1">
      <c r="B51" s="9"/>
      <c r="D51" s="4">
        <f>IFERROR(VLOOKUP(B51,'2_Recipe_Master'!$B$3:$F$7,5,FALSE),0)</f>
        <v>0</v>
      </c>
      <c r="E51" s="4">
        <f>IFERROR(VLOOKUP(B51,'2_Recipe_Master'!$B$3:$F$7,2,FALSE),0)</f>
        <v>0</v>
      </c>
      <c r="F51" s="4">
        <f t="shared" si="1"/>
        <v>0</v>
      </c>
      <c r="G51" s="4">
        <f t="shared" si="2"/>
        <v>0</v>
      </c>
      <c r="H51" s="4">
        <f t="shared" si="3"/>
        <v>0</v>
      </c>
    </row>
    <row r="52" ht="15.75" customHeight="1">
      <c r="B52" s="9"/>
      <c r="D52" s="4">
        <f>IFERROR(VLOOKUP(B52,'2_Recipe_Master'!$B$3:$F$7,5,FALSE),0)</f>
        <v>0</v>
      </c>
      <c r="E52" s="4">
        <f>IFERROR(VLOOKUP(B52,'2_Recipe_Master'!$B$3:$F$7,2,FALSE),0)</f>
        <v>0</v>
      </c>
      <c r="F52" s="4">
        <f t="shared" si="1"/>
        <v>0</v>
      </c>
      <c r="G52" s="4">
        <f t="shared" si="2"/>
        <v>0</v>
      </c>
      <c r="H52" s="4">
        <f t="shared" si="3"/>
        <v>0</v>
      </c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100">
      <formula1>'2_Recipe_Master'!$B$3:$B$7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8.14"/>
    <col customWidth="1" min="3" max="3" width="14.71"/>
    <col customWidth="1" min="4" max="4" width="8.71"/>
    <col customWidth="1" min="5" max="5" width="14.71"/>
    <col customWidth="1" min="6" max="6" width="8.71"/>
    <col customWidth="1" min="7" max="7" width="14.71"/>
    <col customWidth="1" min="8" max="8" width="15.71"/>
    <col customWidth="1" min="9" max="9" width="14.71"/>
    <col customWidth="1" min="10" max="10" width="8.71"/>
    <col customWidth="1" min="11" max="11" width="19.43"/>
    <col customWidth="1" min="12" max="12" width="9.0"/>
    <col customWidth="1" min="13" max="13" width="10.29"/>
    <col customWidth="1" min="14" max="26" width="8.71"/>
  </cols>
  <sheetData>
    <row r="1">
      <c r="B1" s="1" t="s">
        <v>57</v>
      </c>
      <c r="H1" s="10" t="s">
        <v>58</v>
      </c>
    </row>
    <row r="3">
      <c r="B3" s="11" t="s">
        <v>59</v>
      </c>
      <c r="C3" s="12"/>
      <c r="D3" s="11" t="s">
        <v>25</v>
      </c>
      <c r="E3" s="12"/>
      <c r="F3" s="11" t="s">
        <v>60</v>
      </c>
      <c r="G3" s="12"/>
      <c r="H3" s="11" t="s">
        <v>61</v>
      </c>
      <c r="I3" s="12"/>
      <c r="K3" s="13" t="s">
        <v>62</v>
      </c>
    </row>
    <row r="4">
      <c r="B4" s="14">
        <f>SUM('3_Daily_Sales'!F:F)</f>
        <v>0</v>
      </c>
      <c r="C4" s="15"/>
      <c r="D4" s="14">
        <f>SUM('3_Daily_Sales'!G:G)</f>
        <v>0</v>
      </c>
      <c r="E4" s="15"/>
      <c r="F4" s="14">
        <f>SUM('3_Daily_Sales'!H:H)</f>
        <v>0</v>
      </c>
      <c r="G4" s="15"/>
      <c r="H4" s="16">
        <f>IF(B4=0,0,F4/B4)</f>
        <v>0</v>
      </c>
      <c r="I4" s="15"/>
      <c r="K4" s="2" t="s">
        <v>24</v>
      </c>
      <c r="L4" s="2" t="s">
        <v>63</v>
      </c>
      <c r="M4" s="2" t="s">
        <v>55</v>
      </c>
    </row>
    <row r="5">
      <c r="K5" s="5" t="str">
        <f>'2_Recipe_Master'!B3</f>
        <v>Strawberry Shortcake</v>
      </c>
      <c r="L5" s="3">
        <f>SUMIF('3_Daily_Sales'!B:B, K5, '3_Daily_Sales'!C:C)</f>
        <v>0</v>
      </c>
      <c r="M5" s="4">
        <f>SUMIF('3_Daily_Sales'!B:B, K5, '3_Daily_Sales'!F:F)</f>
        <v>0</v>
      </c>
    </row>
    <row r="6">
      <c r="K6" s="5" t="str">
        <f>'2_Recipe_Master'!B4</f>
        <v>Double Choc Brownie</v>
      </c>
      <c r="L6" s="3">
        <f>SUMIF('3_Daily_Sales'!B:B, K6, '3_Daily_Sales'!C:C)</f>
        <v>0</v>
      </c>
      <c r="M6" s="4">
        <f>SUMIF('3_Daily_Sales'!B:B, K6, '3_Daily_Sales'!F:F)</f>
        <v>0</v>
      </c>
    </row>
    <row r="7">
      <c r="K7" s="5" t="str">
        <f>'2_Recipe_Master'!B5</f>
        <v>Oatmeal Cookie</v>
      </c>
      <c r="L7" s="3">
        <f>SUMIF('3_Daily_Sales'!B:B, K7, '3_Daily_Sales'!C:C)</f>
        <v>0</v>
      </c>
      <c r="M7" s="4">
        <f>SUMIF('3_Daily_Sales'!B:B, K7, '3_Daily_Sales'!F:F)</f>
        <v>0</v>
      </c>
    </row>
    <row r="8">
      <c r="K8" s="5" t="str">
        <f>'2_Recipe_Master'!B6</f>
        <v>Butter Croissant</v>
      </c>
      <c r="L8" s="3">
        <f>SUMIF('3_Daily_Sales'!B:B, K8, '3_Daily_Sales'!C:C)</f>
        <v>0</v>
      </c>
      <c r="M8" s="4">
        <f>SUMIF('3_Daily_Sales'!B:B, K8, '3_Daily_Sales'!F:F)</f>
        <v>0</v>
      </c>
    </row>
    <row r="9">
      <c r="K9" s="5" t="str">
        <f>'2_Recipe_Master'!B7</f>
        <v>Coconut Pie</v>
      </c>
      <c r="L9" s="3">
        <f>SUMIF('3_Daily_Sales'!B:B, K9, '3_Daily_Sales'!C:C)</f>
        <v>0</v>
      </c>
      <c r="M9" s="4">
        <f>SUMIF('3_Daily_Sales'!B:B, K9, '3_Daily_Sales'!F:F)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C3"/>
    <mergeCell ref="D3:E3"/>
    <mergeCell ref="F3:G3"/>
    <mergeCell ref="H3:I3"/>
    <mergeCell ref="B4:C4"/>
    <mergeCell ref="D4:E4"/>
    <mergeCell ref="F4:G4"/>
    <mergeCell ref="H4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2025-12-28T14:32:55Z</dcterms:created>
</cp:coreProperties>
</file>